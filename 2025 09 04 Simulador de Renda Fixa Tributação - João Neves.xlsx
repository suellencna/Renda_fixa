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d.docs.live.net/282d7162aa51cd8f/Área de Trabalho/Python/Potens Investimentos/Comparador de Ativos/"/>
    </mc:Choice>
  </mc:AlternateContent>
  <xr:revisionPtr revIDLastSave="0" documentId="8_{FCCA904B-DAFC-DA41-BEBE-ABB5AAC38D31}" xr6:coauthVersionLast="47" xr6:coauthVersionMax="47" xr10:uidLastSave="{00000000-0000-0000-0000-000000000000}"/>
  <workbookProtection workbookAlgorithmName="SHA-512" workbookHashValue="8dNMeiPNSx95XSQCQt9/G16eyVjXs22uY7eHmugaViJWth6EwVggw5u6f4XQQOjH/JIV+OR7Ixu1PUWKavm2Gw==" workbookSaltValue="GR5IoPWZFYUkdePvlIL3bw==" workbookSpinCount="100000" lockStructure="1"/>
  <bookViews>
    <workbookView xWindow="0" yWindow="0" windowWidth="28800" windowHeight="18000" firstSheet="1" activeTab="1" xr2:uid="{F28665A3-0193-4AE9-84CD-C88D89B1E74C}"/>
  </bookViews>
  <sheets>
    <sheet name="Capa" sheetId="6" r:id="rId1"/>
    <sheet name="Comparador" sheetId="2" r:id="rId2"/>
    <sheet name="Dados" sheetId="3" state="hidden" r:id="rId3"/>
    <sheet name="Disclaimer" sheetId="4" r:id="rId4"/>
  </sheets>
  <definedNames>
    <definedName name="_xlnm._FilterDatabase" localSheetId="1" hidden="1">Comparador!$B$12:$L$15</definedName>
    <definedName name="_xlnm._FilterDatabase" localSheetId="2" hidden="1">Dados!$B$14:$B$18</definedName>
    <definedName name="_xlnm.Print_Area" localSheetId="1">Comparador!$A$2:$W$33</definedName>
    <definedName name="_xlnm.Print_Area" localSheetId="3">Disclaimer!$A$1:$R$33</definedName>
    <definedName name="CD.I24">Comparador!$K$29</definedName>
    <definedName name="CD.I25">Comparador!$L$29</definedName>
    <definedName name="CD.I26">Comparador!$M$29</definedName>
    <definedName name="Data2024">Comparador!$K$28</definedName>
    <definedName name="Data2025">Comparador!$L$28</definedName>
    <definedName name="Data2026">Comparador!$M$28</definedName>
    <definedName name="IPCA24">Comparador!$K$30</definedName>
    <definedName name="IPCA25">Comparador!$L$30</definedName>
    <definedName name="IPCA26">Comparador!$M$30</definedName>
    <definedName name="Juros24">Comparador!$K$29</definedName>
    <definedName name="Vencimento">Comparador!$F$13</definedName>
    <definedName name="Vencimento1">Comparador!$F$13</definedName>
    <definedName name="Vencimento2">Comparador!$F$15</definedName>
    <definedName name="Vencimento3">Comparador!$F$17</definedName>
    <definedName name="Vencimento4">Comparador!$F$19</definedName>
    <definedName name="Vencimento5">Comparador!$F$21</definedName>
    <definedName name="Vencimento6">Comparador!$F$23</definedName>
    <definedName name="Z_DC98744D_E3B9_4D80_B691_6C3FB36E9535_.wvu.Cols" localSheetId="0" hidden="1">Capa!$W:$XFD</definedName>
    <definedName name="Z_DC98744D_E3B9_4D80_B691_6C3FB36E9535_.wvu.Cols" localSheetId="3" hidden="1">Disclaimer!$S:$XFD</definedName>
    <definedName name="Z_DC98744D_E3B9_4D80_B691_6C3FB36E9535_.wvu.Rows" localSheetId="0" hidden="1">Capa!$31:$1048576,Capa!$25:$30</definedName>
    <definedName name="Z_DC98744D_E3B9_4D80_B691_6C3FB36E9535_.wvu.Rows" localSheetId="3" hidden="1">Disclaimer!$38:$1048576</definedName>
  </definedNames>
  <calcPr calcId="191028"/>
  <customWorkbookViews>
    <customWorkbookView name="dddas" guid="{DC98744D-E3B9-4D80-B691-6C3FB36E9535}" maximized="1" xWindow="-1928" yWindow="-164" windowWidth="1936" windowHeight="1048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2" l="1"/>
  <c r="J21" i="2"/>
  <c r="J19" i="2"/>
  <c r="J15" i="2"/>
  <c r="J13" i="2"/>
  <c r="J17" i="2"/>
  <c r="M23" i="2"/>
  <c r="M21" i="2"/>
  <c r="M19" i="2"/>
  <c r="M15" i="2"/>
  <c r="M13" i="2"/>
  <c r="M17" i="2"/>
  <c r="J23" i="2"/>
  <c r="Q12" i="3"/>
  <c r="P12" i="3"/>
  <c r="O12" i="3"/>
  <c r="M12" i="3"/>
  <c r="L12" i="3"/>
  <c r="K12" i="3"/>
  <c r="M27" i="3"/>
  <c r="L27" i="3"/>
  <c r="K27" i="3"/>
  <c r="E23" i="2"/>
  <c r="I38" i="3"/>
  <c r="M38" i="3" s="1"/>
  <c r="I36" i="3"/>
  <c r="L36" i="3" s="1"/>
  <c r="I34" i="3"/>
  <c r="M34" i="3" s="1"/>
  <c r="I32" i="3"/>
  <c r="M32" i="3" s="1"/>
  <c r="I30" i="3"/>
  <c r="L30" i="3" s="1"/>
  <c r="I28" i="3"/>
  <c r="M28" i="3" s="1"/>
  <c r="Q28" i="3" s="1"/>
  <c r="Q27" i="3"/>
  <c r="P27" i="3"/>
  <c r="O27" i="3"/>
  <c r="Q13" i="3"/>
  <c r="P13" i="3"/>
  <c r="O13" i="3"/>
  <c r="I16" i="3"/>
  <c r="L16" i="3" s="1"/>
  <c r="I18" i="3"/>
  <c r="L18" i="3" s="1"/>
  <c r="I20" i="3"/>
  <c r="L20" i="3" s="1"/>
  <c r="I22" i="3"/>
  <c r="L22" i="3" s="1"/>
  <c r="I24" i="3"/>
  <c r="M24" i="3" s="1"/>
  <c r="Q24" i="3" s="1"/>
  <c r="Q34" i="3" l="1"/>
  <c r="P16" i="3"/>
  <c r="P30" i="3"/>
  <c r="Q32" i="3"/>
  <c r="Q38" i="3"/>
  <c r="P22" i="3"/>
  <c r="P18" i="3"/>
  <c r="P36" i="3"/>
  <c r="P20" i="3"/>
  <c r="M16" i="3"/>
  <c r="Q16" i="3" s="1"/>
  <c r="M22" i="3"/>
  <c r="Q22" i="3" s="1"/>
  <c r="L28" i="3"/>
  <c r="P28" i="3" s="1"/>
  <c r="L24" i="3"/>
  <c r="P24" i="3" s="1"/>
  <c r="L38" i="3"/>
  <c r="P38" i="3" s="1"/>
  <c r="M36" i="3"/>
  <c r="Q36" i="3" s="1"/>
  <c r="M30" i="3"/>
  <c r="Q30" i="3" s="1"/>
  <c r="L32" i="3"/>
  <c r="P32" i="3" s="1"/>
  <c r="L34" i="3"/>
  <c r="P34" i="3" s="1"/>
  <c r="M20" i="3"/>
  <c r="Q20" i="3" s="1"/>
  <c r="M18" i="3"/>
  <c r="Q18" i="3" s="1"/>
  <c r="G13" i="2"/>
  <c r="I14" i="3"/>
  <c r="J13" i="3"/>
  <c r="J27" i="3" s="1"/>
  <c r="H23" i="2"/>
  <c r="B23" i="2"/>
  <c r="B21" i="2"/>
  <c r="B19" i="2"/>
  <c r="B17" i="2"/>
  <c r="B15" i="2"/>
  <c r="B13" i="2"/>
  <c r="J30" i="3" l="1"/>
  <c r="K30" i="3" s="1"/>
  <c r="O30" i="3" s="1"/>
  <c r="S30" i="3" s="1"/>
  <c r="U30" i="3" s="1"/>
  <c r="G30" i="3" s="1"/>
  <c r="H15" i="2" s="1"/>
  <c r="K14" i="3"/>
  <c r="O14" i="3" s="1"/>
  <c r="J28" i="3"/>
  <c r="K28" i="3" s="1"/>
  <c r="J34" i="3"/>
  <c r="K34" i="3" s="1"/>
  <c r="J36" i="3"/>
  <c r="K36" i="3" s="1"/>
  <c r="J32" i="3"/>
  <c r="K32" i="3" s="1"/>
  <c r="J38" i="3"/>
  <c r="K38" i="3" s="1"/>
  <c r="M14" i="3"/>
  <c r="Q14" i="3" s="1"/>
  <c r="L14" i="3"/>
  <c r="P14" i="3" s="1"/>
  <c r="K16" i="3"/>
  <c r="O16" i="3" s="1"/>
  <c r="S16" i="3" s="1"/>
  <c r="J16" i="3"/>
  <c r="J20" i="3"/>
  <c r="K20" i="3" s="1"/>
  <c r="O20" i="3" s="1"/>
  <c r="S20" i="3" s="1"/>
  <c r="J24" i="3"/>
  <c r="K24" i="3" s="1"/>
  <c r="O24" i="3" s="1"/>
  <c r="S24" i="3" s="1"/>
  <c r="J22" i="3"/>
  <c r="K22" i="3" s="1"/>
  <c r="O22" i="3" s="1"/>
  <c r="S22" i="3" s="1"/>
  <c r="J18" i="3"/>
  <c r="K18" i="3" s="1"/>
  <c r="O18" i="3" s="1"/>
  <c r="S18" i="3" s="1"/>
  <c r="J14" i="3"/>
  <c r="G23" i="2"/>
  <c r="G21" i="2"/>
  <c r="G19" i="2"/>
  <c r="G17" i="2"/>
  <c r="G15" i="2"/>
  <c r="O38" i="3" l="1"/>
  <c r="S38" i="3" s="1"/>
  <c r="U38" i="3" s="1"/>
  <c r="G38" i="3" s="1"/>
  <c r="O36" i="3"/>
  <c r="S36" i="3" s="1"/>
  <c r="U36" i="3" s="1"/>
  <c r="G36" i="3" s="1"/>
  <c r="H21" i="2" s="1"/>
  <c r="O34" i="3"/>
  <c r="S34" i="3" s="1"/>
  <c r="U34" i="3" s="1"/>
  <c r="G34" i="3" s="1"/>
  <c r="H19" i="2" s="1"/>
  <c r="O32" i="3"/>
  <c r="S32" i="3" s="1"/>
  <c r="U32" i="3" s="1"/>
  <c r="G32" i="3" s="1"/>
  <c r="H17" i="2" s="1"/>
  <c r="O28" i="3"/>
  <c r="S28" i="3" s="1"/>
  <c r="U28" i="3" s="1"/>
  <c r="G28" i="3" s="1"/>
  <c r="H13" i="2" s="1"/>
  <c r="U16" i="3"/>
  <c r="G16" i="3" s="1"/>
  <c r="I15" i="2" s="1"/>
  <c r="N15" i="2" s="1"/>
  <c r="O15" i="2" s="1"/>
  <c r="U22" i="3"/>
  <c r="G22" i="3" s="1"/>
  <c r="U20" i="3"/>
  <c r="G20" i="3" s="1"/>
  <c r="U24" i="3"/>
  <c r="G24" i="3" s="1"/>
  <c r="U18" i="3"/>
  <c r="G18" i="3" s="1"/>
  <c r="S14" i="3"/>
  <c r="I23" i="2" l="1"/>
  <c r="I17" i="2"/>
  <c r="N17" i="2" s="1"/>
  <c r="O17" i="2" s="1"/>
  <c r="U14" i="3"/>
  <c r="G14" i="3" s="1"/>
  <c r="I13" i="2" s="1"/>
  <c r="N13" i="2" s="1"/>
  <c r="O13" i="2" s="1"/>
  <c r="I21" i="2"/>
  <c r="I19" i="2"/>
  <c r="K15" i="2"/>
  <c r="K19" i="2" l="1"/>
  <c r="N19" i="2"/>
  <c r="O19" i="2" s="1"/>
  <c r="K23" i="2"/>
  <c r="L23" i="2" s="1"/>
  <c r="N23" i="2"/>
  <c r="O23" i="2" s="1"/>
  <c r="K21" i="2"/>
  <c r="N21" i="2"/>
  <c r="O21" i="2" s="1"/>
  <c r="L15" i="2"/>
  <c r="K17" i="2"/>
  <c r="K13" i="2"/>
  <c r="L21" i="2" l="1"/>
  <c r="L19" i="2"/>
  <c r="L17" i="2"/>
  <c r="L13" i="2"/>
</calcChain>
</file>

<file path=xl/sharedStrings.xml><?xml version="1.0" encoding="utf-8"?>
<sst xmlns="http://schemas.openxmlformats.org/spreadsheetml/2006/main" count="96" uniqueCount="78">
  <si>
    <t>Como utilizar a planilha:</t>
  </si>
  <si>
    <t>Passo 1</t>
  </si>
  <si>
    <t xml:space="preserve">Abra o site da sua corretora e acesse a área de Renda Fixa para visualizar os produtos disponíveis. </t>
  </si>
  <si>
    <t>Passo 2</t>
  </si>
  <si>
    <r>
      <t xml:space="preserve">Selecionar na coluna </t>
    </r>
    <r>
      <rPr>
        <b/>
        <sz val="11"/>
        <color theme="0"/>
        <rFont val="Aeonik"/>
        <family val="2"/>
        <scheme val="minor"/>
      </rPr>
      <t>ativo</t>
    </r>
    <r>
      <rPr>
        <sz val="11"/>
        <color theme="0"/>
        <rFont val="Aeonik"/>
        <family val="2"/>
        <scheme val="minor"/>
      </rPr>
      <t xml:space="preserve"> qual será o título que pretendemos investir. (Ex: CDB. LCI, LCA, CRI, CRA)</t>
    </r>
  </si>
  <si>
    <t>Passo 3</t>
  </si>
  <si>
    <t>Selecionar o modelo de rentabilidade. (Ex: Pré-fixada, pós-fixada ou IPCA+) </t>
  </si>
  <si>
    <t>Passo 4</t>
  </si>
  <si>
    <t>Inserir a taxa do título, da mesma forma que aparece na página da corretora. (Ex: 120%, 10%, 6%) </t>
  </si>
  <si>
    <t>Passo 5</t>
  </si>
  <si>
    <t>Inserir a data de vencimento do título (Ex: 04/10/2027)</t>
  </si>
  <si>
    <t>Observação:</t>
  </si>
  <si>
    <t>Reforçamos que o objetivo da ferramenta é facilitar o cálculo da rentabilidade líquida e que são calculadas de acordo com estimativas da taxa básica de juros e inflação futuras.</t>
  </si>
  <si>
    <t>Regra de Imposto de Renda Atual</t>
  </si>
  <si>
    <t>Nova Regra de Imposto de Renda</t>
  </si>
  <si>
    <t>Ativo</t>
  </si>
  <si>
    <t>Indexador</t>
  </si>
  <si>
    <t>% do CDI ou Taxa préfixada</t>
  </si>
  <si>
    <t>Vencimento</t>
  </si>
  <si>
    <t>Dias</t>
  </si>
  <si>
    <t>Taxa bruta</t>
  </si>
  <si>
    <t>Taxa nominal</t>
  </si>
  <si>
    <t>IR atual</t>
  </si>
  <si>
    <t xml:space="preserve">Taxa nominal líquida </t>
  </si>
  <si>
    <t>Taxa nominal líquida em %CDI</t>
  </si>
  <si>
    <t>Novo IR*</t>
  </si>
  <si>
    <t>CRI</t>
  </si>
  <si>
    <t>IPCA+</t>
  </si>
  <si>
    <t>CRA</t>
  </si>
  <si>
    <t>Debenture Incentivada</t>
  </si>
  <si>
    <t>LTN</t>
  </si>
  <si>
    <t>Pré-fixado</t>
  </si>
  <si>
    <t>LFT</t>
  </si>
  <si>
    <t>Pós-fixado</t>
  </si>
  <si>
    <t>Poupança</t>
  </si>
  <si>
    <t>* Assumimos a TR de 0,07% ao mês para Poupança</t>
  </si>
  <si>
    <t xml:space="preserve">Atual Tabela regressiva de IR - Renda Fixa </t>
  </si>
  <si>
    <t>Premissas macroeconômicas</t>
  </si>
  <si>
    <t>Período</t>
  </si>
  <si>
    <t>Alíquota</t>
  </si>
  <si>
    <t>Até 180 dias</t>
  </si>
  <si>
    <t>CDI</t>
  </si>
  <si>
    <t>Entre 180 e 360 dias</t>
  </si>
  <si>
    <t>IPCA</t>
  </si>
  <si>
    <t>Entre 360 e 720 dias</t>
  </si>
  <si>
    <t>Acima de 720 dias</t>
  </si>
  <si>
    <t>Premissas Relatório FOCUS</t>
  </si>
  <si>
    <t xml:space="preserve">Proposta de Nova Regra de IR - Renda Fixa </t>
  </si>
  <si>
    <t>SELIC (Final)</t>
  </si>
  <si>
    <t/>
  </si>
  <si>
    <t>Alíquota não isentos</t>
  </si>
  <si>
    <t>IPCA (Acumulado)</t>
  </si>
  <si>
    <t>Alíquota isentos</t>
  </si>
  <si>
    <t>* Os valores de 5% e 17,5% ainda estão sendo discutidos no governo.</t>
  </si>
  <si>
    <t xml:space="preserve">   Essa é apenas uma simulação de como podem ficar os impostos</t>
  </si>
  <si>
    <t>Como ler o resultado:</t>
  </si>
  <si>
    <r>
      <rPr>
        <b/>
        <sz val="11"/>
        <color theme="1"/>
        <rFont val="Aeonik"/>
        <family val="2"/>
        <scheme val="minor"/>
      </rPr>
      <t>1)</t>
    </r>
    <r>
      <rPr>
        <sz val="11"/>
        <color theme="1"/>
        <rFont val="Aeonik"/>
        <family val="2"/>
        <scheme val="minor"/>
      </rPr>
      <t xml:space="preserve"> O gráfico 1 mostra o comparativo entre as taxas de rentabilidade absolutas, já deduzidas de imposto de renda, ou seja, quanto um título deve render em termos perncentuais ao ano.</t>
    </r>
  </si>
  <si>
    <t>Além disso, nesse gráfico, também podemos ver uma comparação entre a rentabildiade no modelo atual de imposto de renda (laranja) e o quanto seria com o novo modelo de imposto</t>
  </si>
  <si>
    <t>de renda proposto pelo governo (preto)</t>
  </si>
  <si>
    <r>
      <rPr>
        <b/>
        <sz val="11"/>
        <color theme="1"/>
        <rFont val="Aeonik"/>
        <family val="2"/>
        <scheme val="minor"/>
      </rPr>
      <t>2)</t>
    </r>
    <r>
      <rPr>
        <sz val="11"/>
        <color theme="1"/>
        <rFont val="Aeonik"/>
        <family val="2"/>
        <scheme val="minor"/>
      </rPr>
      <t xml:space="preserve"> O gráfico 2 mostra o comparativo entre as taxas como </t>
    </r>
    <r>
      <rPr>
        <b/>
        <sz val="11"/>
        <color theme="1"/>
        <rFont val="Aeonik"/>
        <family val="2"/>
        <scheme val="minor"/>
      </rPr>
      <t>% do CDI</t>
    </r>
    <r>
      <rPr>
        <sz val="11"/>
        <color theme="1"/>
        <rFont val="Aeonik"/>
        <family val="2"/>
        <scheme val="minor"/>
      </rPr>
      <t>, já deduzidas de imposto de renda, ou seja, o quanto os títulos devem render em relação ao CDI projetado para o</t>
    </r>
  </si>
  <si>
    <t>período. Assim como no gráfico 1, também podemos comparar a diferença entre o modelo atual de imposto de renda (laranja) e o novo modelo de IR proposto pelo governo (petro)</t>
  </si>
  <si>
    <t>Data de Atualização:</t>
  </si>
  <si>
    <t>Analista:</t>
  </si>
  <si>
    <t>João Neves</t>
  </si>
  <si>
    <t>Inputs Clientes</t>
  </si>
  <si>
    <t>Inputs Atualização</t>
  </si>
  <si>
    <t>Cálculos</t>
  </si>
  <si>
    <t>Botões</t>
  </si>
  <si>
    <t>Dias (Total)</t>
  </si>
  <si>
    <t>Ativos</t>
  </si>
  <si>
    <t>Indexadores</t>
  </si>
  <si>
    <t>Prazos</t>
  </si>
  <si>
    <t>Vencimentos</t>
  </si>
  <si>
    <t>CDB</t>
  </si>
  <si>
    <t>LCI</t>
  </si>
  <si>
    <t>LCA</t>
  </si>
  <si>
    <t>NTN-B</t>
  </si>
  <si>
    <t>Debenture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</si>
</sst>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* #,##0.000_-;\-* #,##0.000_-;_-* &quot;-&quot;??_-;_-@_-"/>
  </numFmts>
  <fonts count="9">
    <font>
      <sz val="11"/>
      <color theme="1"/>
      <name val="Aeonik"/>
      <family val="2"/>
      <scheme val="minor"/>
    </font>
    <font>
      <sz val="11"/>
      <color theme="1"/>
      <name val="Aeonik"/>
      <family val="2"/>
      <scheme val="minor"/>
    </font>
    <font>
      <b/>
      <sz val="11"/>
      <color theme="1"/>
      <name val="Aeonik"/>
      <family val="2"/>
      <scheme val="minor"/>
    </font>
    <font>
      <b/>
      <u/>
      <sz val="11"/>
      <color theme="1"/>
      <name val="Aeonik"/>
      <family val="2"/>
      <scheme val="minor"/>
    </font>
    <font>
      <b/>
      <sz val="11"/>
      <color theme="0"/>
      <name val="Aeonik"/>
      <family val="2"/>
      <scheme val="minor"/>
    </font>
    <font>
      <sz val="8"/>
      <name val="Aeonik"/>
      <family val="2"/>
      <scheme val="minor"/>
    </font>
    <font>
      <sz val="11"/>
      <color theme="0"/>
      <name val="Aeonik"/>
      <family val="2"/>
      <scheme val="minor"/>
    </font>
    <font>
      <sz val="7"/>
      <color theme="1"/>
      <name val="Aeonik"/>
      <family val="2"/>
      <scheme val="minor"/>
    </font>
    <font>
      <sz val="10"/>
      <color theme="0"/>
      <name val="Aeonik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BE5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8E53"/>
        <bgColor rgb="FF174738"/>
      </patternFill>
    </fill>
    <fill>
      <patternFill patternType="solid">
        <fgColor rgb="FFFFEBE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rgb="FF17473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 applyProtection="1">
      <protection locked="0"/>
    </xf>
    <xf numFmtId="10" fontId="0" fillId="0" borderId="0" xfId="1" applyNumberFormat="1" applyFont="1" applyProtection="1">
      <protection locked="0"/>
    </xf>
    <xf numFmtId="9" fontId="0" fillId="0" borderId="0" xfId="1" applyFont="1" applyProtection="1">
      <protection locked="0"/>
    </xf>
    <xf numFmtId="0" fontId="0" fillId="3" borderId="0" xfId="0" applyFill="1"/>
    <xf numFmtId="0" fontId="2" fillId="6" borderId="0" xfId="0" applyFont="1" applyFill="1"/>
    <xf numFmtId="0" fontId="0" fillId="6" borderId="0" xfId="0" applyFill="1"/>
    <xf numFmtId="14" fontId="0" fillId="6" borderId="0" xfId="0" applyNumberFormat="1" applyFill="1"/>
    <xf numFmtId="164" fontId="0" fillId="6" borderId="0" xfId="1" applyNumberFormat="1" applyFont="1" applyFill="1"/>
    <xf numFmtId="164" fontId="0" fillId="6" borderId="0" xfId="0" applyNumberFormat="1" applyFill="1"/>
    <xf numFmtId="0" fontId="2" fillId="7" borderId="7" xfId="0" applyFont="1" applyFill="1" applyBorder="1" applyAlignment="1">
      <alignment horizontal="left" wrapText="1"/>
    </xf>
    <xf numFmtId="164" fontId="0" fillId="7" borderId="0" xfId="1" applyNumberFormat="1" applyFont="1" applyFill="1" applyAlignment="1">
      <alignment horizontal="right"/>
    </xf>
    <xf numFmtId="0" fontId="2" fillId="7" borderId="7" xfId="0" applyFont="1" applyFill="1" applyBorder="1"/>
    <xf numFmtId="164" fontId="0" fillId="7" borderId="7" xfId="1" applyNumberFormat="1" applyFont="1" applyFill="1" applyBorder="1" applyAlignment="1">
      <alignment horizontal="right"/>
    </xf>
    <xf numFmtId="0" fontId="0" fillId="7" borderId="0" xfId="0" applyFill="1"/>
    <xf numFmtId="14" fontId="2" fillId="6" borderId="0" xfId="0" applyNumberFormat="1" applyFont="1" applyFill="1"/>
    <xf numFmtId="14" fontId="0" fillId="3" borderId="0" xfId="0" applyNumberFormat="1" applyFill="1"/>
    <xf numFmtId="166" fontId="0" fillId="6" borderId="0" xfId="2" applyNumberFormat="1" applyFont="1" applyFill="1"/>
    <xf numFmtId="0" fontId="2" fillId="6" borderId="0" xfId="0" applyFont="1" applyFill="1" applyAlignment="1">
      <alignment horizontal="center"/>
    </xf>
    <xf numFmtId="0" fontId="0" fillId="6" borderId="0" xfId="0" applyFill="1" applyAlignment="1">
      <alignment horizontal="right"/>
    </xf>
    <xf numFmtId="0" fontId="2" fillId="6" borderId="3" xfId="0" applyFont="1" applyFill="1" applyBorder="1" applyProtection="1">
      <protection locked="0"/>
    </xf>
    <xf numFmtId="0" fontId="2" fillId="6" borderId="0" xfId="0" applyFont="1" applyFill="1" applyProtection="1">
      <protection locked="0"/>
    </xf>
    <xf numFmtId="0" fontId="2" fillId="6" borderId="0" xfId="0" applyFont="1" applyFill="1" applyAlignment="1" applyProtection="1">
      <alignment horizontal="center"/>
      <protection locked="0"/>
    </xf>
    <xf numFmtId="0" fontId="2" fillId="6" borderId="7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 wrapText="1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vertical="center"/>
    </xf>
    <xf numFmtId="165" fontId="0" fillId="6" borderId="0" xfId="2" applyNumberFormat="1" applyFont="1" applyFill="1" applyAlignment="1">
      <alignment horizontal="right"/>
    </xf>
    <xf numFmtId="10" fontId="0" fillId="6" borderId="0" xfId="1" applyNumberFormat="1" applyFont="1" applyFill="1" applyAlignment="1">
      <alignment horizontal="right"/>
    </xf>
    <xf numFmtId="10" fontId="0" fillId="6" borderId="0" xfId="1" applyNumberFormat="1" applyFont="1" applyFill="1" applyBorder="1" applyAlignment="1">
      <alignment horizontal="center"/>
    </xf>
    <xf numFmtId="164" fontId="0" fillId="6" borderId="0" xfId="1" applyNumberFormat="1" applyFont="1" applyFill="1" applyAlignment="1">
      <alignment horizontal="center"/>
    </xf>
    <xf numFmtId="10" fontId="0" fillId="6" borderId="5" xfId="1" applyNumberFormat="1" applyFont="1" applyFill="1" applyBorder="1" applyProtection="1">
      <protection locked="0"/>
    </xf>
    <xf numFmtId="164" fontId="2" fillId="6" borderId="0" xfId="0" applyNumberFormat="1" applyFont="1" applyFill="1" applyProtection="1">
      <protection locked="0"/>
    </xf>
    <xf numFmtId="10" fontId="2" fillId="6" borderId="0" xfId="0" applyNumberFormat="1" applyFont="1" applyFill="1"/>
    <xf numFmtId="10" fontId="0" fillId="6" borderId="0" xfId="1" applyNumberFormat="1" applyFont="1" applyFill="1" applyAlignment="1" applyProtection="1">
      <alignment horizontal="right"/>
    </xf>
    <xf numFmtId="10" fontId="0" fillId="6" borderId="0" xfId="1" applyNumberFormat="1" applyFont="1" applyFill="1" applyBorder="1" applyAlignment="1" applyProtection="1">
      <alignment horizontal="center"/>
    </xf>
    <xf numFmtId="0" fontId="2" fillId="6" borderId="7" xfId="0" applyFont="1" applyFill="1" applyBorder="1" applyProtection="1">
      <protection locked="0"/>
    </xf>
    <xf numFmtId="0" fontId="6" fillId="6" borderId="4" xfId="0" applyFont="1" applyFill="1" applyBorder="1" applyProtection="1">
      <protection locked="0"/>
    </xf>
    <xf numFmtId="0" fontId="6" fillId="6" borderId="6" xfId="0" applyFont="1" applyFill="1" applyBorder="1" applyProtection="1">
      <protection locked="0"/>
    </xf>
    <xf numFmtId="165" fontId="6" fillId="6" borderId="0" xfId="2" applyNumberFormat="1" applyFont="1" applyFill="1" applyAlignment="1" applyProtection="1">
      <alignment horizontal="right"/>
    </xf>
    <xf numFmtId="0" fontId="2" fillId="7" borderId="9" xfId="0" applyFont="1" applyFill="1" applyBorder="1" applyAlignment="1">
      <alignment horizontal="center" wrapText="1"/>
    </xf>
    <xf numFmtId="0" fontId="2" fillId="7" borderId="11" xfId="0" applyFont="1" applyFill="1" applyBorder="1" applyAlignment="1">
      <alignment horizontal="center" wrapText="1"/>
    </xf>
    <xf numFmtId="164" fontId="2" fillId="7" borderId="4" xfId="1" applyNumberFormat="1" applyFont="1" applyFill="1" applyBorder="1" applyAlignment="1">
      <alignment horizontal="center"/>
    </xf>
    <xf numFmtId="10" fontId="2" fillId="7" borderId="5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164" fontId="2" fillId="7" borderId="4" xfId="0" applyNumberFormat="1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164" fontId="2" fillId="7" borderId="6" xfId="1" applyNumberFormat="1" applyFont="1" applyFill="1" applyBorder="1" applyAlignment="1" applyProtection="1">
      <alignment horizontal="center"/>
    </xf>
    <xf numFmtId="10" fontId="2" fillId="7" borderId="8" xfId="0" applyNumberFormat="1" applyFont="1" applyFill="1" applyBorder="1" applyAlignment="1">
      <alignment horizontal="center"/>
    </xf>
    <xf numFmtId="0" fontId="3" fillId="6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2" fillId="6" borderId="7" xfId="0" applyFont="1" applyFill="1" applyBorder="1" applyAlignment="1">
      <alignment horizontal="center"/>
    </xf>
    <xf numFmtId="0" fontId="0" fillId="5" borderId="0" xfId="0" applyFill="1"/>
    <xf numFmtId="0" fontId="0" fillId="2" borderId="0" xfId="0" applyFill="1"/>
    <xf numFmtId="0" fontId="0" fillId="8" borderId="0" xfId="0" applyFill="1"/>
    <xf numFmtId="0" fontId="6" fillId="9" borderId="0" xfId="0" applyFont="1" applyFill="1"/>
    <xf numFmtId="0" fontId="4" fillId="9" borderId="0" xfId="0" applyFont="1" applyFill="1"/>
    <xf numFmtId="0" fontId="4" fillId="9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8" fillId="9" borderId="0" xfId="0" applyFont="1" applyFill="1"/>
    <xf numFmtId="0" fontId="8" fillId="9" borderId="0" xfId="0" applyFont="1" applyFill="1" applyAlignment="1">
      <alignment vertical="center" wrapText="1"/>
    </xf>
    <xf numFmtId="0" fontId="0" fillId="4" borderId="0" xfId="0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6" borderId="1" xfId="0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6" borderId="4" xfId="0" applyFill="1" applyBorder="1" applyProtection="1">
      <protection locked="0"/>
    </xf>
    <xf numFmtId="0" fontId="0" fillId="6" borderId="0" xfId="0" applyFill="1" applyProtection="1">
      <protection locked="0"/>
    </xf>
    <xf numFmtId="164" fontId="0" fillId="6" borderId="5" xfId="1" applyNumberFormat="1" applyFont="1" applyFill="1" applyBorder="1" applyProtection="1">
      <protection locked="0"/>
    </xf>
    <xf numFmtId="0" fontId="0" fillId="6" borderId="0" xfId="0" quotePrefix="1" applyFill="1" applyProtection="1">
      <protection locked="0"/>
    </xf>
    <xf numFmtId="164" fontId="0" fillId="6" borderId="0" xfId="0" applyNumberFormat="1" applyFill="1" applyAlignment="1" applyProtection="1">
      <alignment horizontal="right"/>
      <protection locked="0"/>
    </xf>
    <xf numFmtId="10" fontId="0" fillId="6" borderId="0" xfId="0" applyNumberFormat="1" applyFill="1" applyAlignment="1">
      <alignment horizontal="right"/>
    </xf>
    <xf numFmtId="10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right"/>
    </xf>
    <xf numFmtId="164" fontId="0" fillId="6" borderId="0" xfId="0" applyNumberFormat="1" applyFill="1" applyAlignment="1">
      <alignment horizontal="center"/>
    </xf>
    <xf numFmtId="0" fontId="0" fillId="6" borderId="5" xfId="0" applyFill="1" applyBorder="1" applyProtection="1">
      <protection locked="0"/>
    </xf>
    <xf numFmtId="14" fontId="0" fillId="6" borderId="0" xfId="0" applyNumberFormat="1" applyFill="1" applyAlignment="1">
      <alignment horizontal="right"/>
    </xf>
    <xf numFmtId="0" fontId="0" fillId="6" borderId="8" xfId="0" applyFill="1" applyBorder="1" applyProtection="1">
      <protection locked="0"/>
    </xf>
    <xf numFmtId="0" fontId="0" fillId="0" borderId="4" xfId="0" applyBorder="1"/>
    <xf numFmtId="164" fontId="0" fillId="0" borderId="5" xfId="0" applyNumberFormat="1" applyBorder="1"/>
    <xf numFmtId="0" fontId="0" fillId="0" borderId="4" xfId="0" applyBorder="1" applyProtection="1">
      <protection locked="0"/>
    </xf>
    <xf numFmtId="0" fontId="0" fillId="0" borderId="6" xfId="0" applyBorder="1" applyProtection="1">
      <protection locked="0"/>
    </xf>
    <xf numFmtId="164" fontId="0" fillId="0" borderId="0" xfId="0" applyNumberFormat="1" applyProtection="1">
      <protection locked="0"/>
    </xf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10" fontId="0" fillId="6" borderId="0" xfId="0" applyNumberFormat="1" applyFill="1" applyAlignment="1" applyProtection="1">
      <alignment horizontal="right"/>
      <protection locked="0"/>
    </xf>
    <xf numFmtId="10" fontId="0" fillId="6" borderId="7" xfId="0" applyNumberFormat="1" applyFill="1" applyBorder="1" applyAlignment="1" applyProtection="1">
      <alignment horizontal="right"/>
      <protection locked="0"/>
    </xf>
    <xf numFmtId="10" fontId="0" fillId="6" borderId="8" xfId="0" applyNumberFormat="1" applyFill="1" applyBorder="1" applyAlignment="1" applyProtection="1">
      <alignment horizontal="right"/>
      <protection locked="0"/>
    </xf>
    <xf numFmtId="10" fontId="0" fillId="0" borderId="0" xfId="0" applyNumberFormat="1" applyProtection="1">
      <protection locked="0"/>
    </xf>
    <xf numFmtId="0" fontId="0" fillId="10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0" fontId="2" fillId="7" borderId="9" xfId="0" applyFont="1" applyFill="1" applyBorder="1" applyAlignment="1">
      <alignment horizontal="center" vertical="center" wrapText="1"/>
    </xf>
    <xf numFmtId="0" fontId="2" fillId="11" borderId="0" xfId="0" applyFont="1" applyFill="1" applyProtection="1">
      <protection locked="0"/>
    </xf>
    <xf numFmtId="10" fontId="0" fillId="11" borderId="0" xfId="0" applyNumberFormat="1" applyFill="1" applyAlignment="1" applyProtection="1">
      <alignment horizontal="right"/>
      <protection locked="0"/>
    </xf>
    <xf numFmtId="14" fontId="0" fillId="11" borderId="0" xfId="0" applyNumberFormat="1" applyFill="1" applyAlignment="1" applyProtection="1">
      <alignment horizontal="right"/>
      <protection locked="0"/>
    </xf>
    <xf numFmtId="10" fontId="0" fillId="11" borderId="5" xfId="0" applyNumberFormat="1" applyFill="1" applyBorder="1" applyAlignment="1" applyProtection="1">
      <alignment horizontal="right"/>
      <protection locked="0"/>
    </xf>
    <xf numFmtId="10" fontId="0" fillId="11" borderId="7" xfId="0" applyNumberFormat="1" applyFill="1" applyBorder="1" applyAlignment="1" applyProtection="1">
      <alignment horizontal="right"/>
      <protection locked="0"/>
    </xf>
    <xf numFmtId="10" fontId="0" fillId="11" borderId="8" xfId="0" applyNumberFormat="1" applyFill="1" applyBorder="1" applyAlignment="1" applyProtection="1">
      <alignment horizontal="right"/>
      <protection locked="0"/>
    </xf>
    <xf numFmtId="0" fontId="4" fillId="8" borderId="9" xfId="0" applyFont="1" applyFill="1" applyBorder="1" applyAlignment="1" applyProtection="1">
      <alignment horizontal="center"/>
      <protection locked="0"/>
    </xf>
    <xf numFmtId="1" fontId="4" fillId="8" borderId="10" xfId="0" applyNumberFormat="1" applyFont="1" applyFill="1" applyBorder="1" applyAlignment="1" applyProtection="1">
      <alignment horizontal="center"/>
      <protection locked="0"/>
    </xf>
    <xf numFmtId="1" fontId="4" fillId="8" borderId="11" xfId="0" applyNumberFormat="1" applyFont="1" applyFill="1" applyBorder="1" applyAlignment="1" applyProtection="1">
      <alignment horizontal="center"/>
      <protection locked="0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center"/>
    </xf>
    <xf numFmtId="164" fontId="4" fillId="8" borderId="3" xfId="1" applyNumberFormat="1" applyFont="1" applyFill="1" applyBorder="1" applyAlignment="1">
      <alignment horizontal="right"/>
    </xf>
    <xf numFmtId="0" fontId="4" fillId="8" borderId="6" xfId="0" applyFont="1" applyFill="1" applyBorder="1" applyAlignment="1">
      <alignment horizontal="left"/>
    </xf>
    <xf numFmtId="0" fontId="4" fillId="8" borderId="7" xfId="0" applyFont="1" applyFill="1" applyBorder="1" applyAlignment="1">
      <alignment horizontal="center"/>
    </xf>
    <xf numFmtId="164" fontId="4" fillId="8" borderId="8" xfId="1" applyNumberFormat="1" applyFont="1" applyFill="1" applyBorder="1" applyAlignment="1">
      <alignment horizontal="right"/>
    </xf>
    <xf numFmtId="0" fontId="0" fillId="12" borderId="1" xfId="0" applyFill="1" applyBorder="1" applyProtection="1">
      <protection locked="0"/>
    </xf>
    <xf numFmtId="0" fontId="0" fillId="12" borderId="2" xfId="0" applyFill="1" applyBorder="1" applyProtection="1">
      <protection locked="0"/>
    </xf>
    <xf numFmtId="0" fontId="0" fillId="12" borderId="3" xfId="0" applyFill="1" applyBorder="1" applyProtection="1">
      <protection locked="0"/>
    </xf>
    <xf numFmtId="0" fontId="0" fillId="12" borderId="4" xfId="0" applyFill="1" applyBorder="1"/>
    <xf numFmtId="0" fontId="0" fillId="12" borderId="0" xfId="0" applyFill="1" applyProtection="1">
      <protection locked="0"/>
    </xf>
    <xf numFmtId="0" fontId="0" fillId="12" borderId="5" xfId="0" applyFill="1" applyBorder="1" applyProtection="1">
      <protection locked="0"/>
    </xf>
    <xf numFmtId="0" fontId="0" fillId="12" borderId="6" xfId="0" applyFill="1" applyBorder="1"/>
    <xf numFmtId="0" fontId="0" fillId="12" borderId="7" xfId="0" applyFill="1" applyBorder="1" applyProtection="1">
      <protection locked="0"/>
    </xf>
    <xf numFmtId="0" fontId="0" fillId="12" borderId="8" xfId="0" applyFill="1" applyBorder="1" applyProtection="1">
      <protection locked="0"/>
    </xf>
    <xf numFmtId="164" fontId="2" fillId="7" borderId="6" xfId="0" applyNumberFormat="1" applyFont="1" applyFill="1" applyBorder="1" applyAlignment="1">
      <alignment horizontal="center"/>
    </xf>
    <xf numFmtId="14" fontId="0" fillId="11" borderId="0" xfId="0" applyNumberFormat="1" applyFill="1"/>
    <xf numFmtId="0" fontId="0" fillId="11" borderId="0" xfId="0" applyFill="1"/>
    <xf numFmtId="10" fontId="0" fillId="6" borderId="5" xfId="0" quotePrefix="1" applyNumberFormat="1" applyFill="1" applyBorder="1" applyAlignment="1" applyProtection="1">
      <alignment horizontal="right"/>
      <protection locked="0"/>
    </xf>
    <xf numFmtId="0" fontId="4" fillId="8" borderId="9" xfId="0" applyFont="1" applyFill="1" applyBorder="1" applyAlignment="1" applyProtection="1">
      <alignment horizontal="center" vertical="center"/>
      <protection locked="0"/>
    </xf>
    <xf numFmtId="0" fontId="4" fillId="8" borderId="11" xfId="0" applyFont="1" applyFill="1" applyBorder="1" applyAlignment="1" applyProtection="1">
      <alignment horizontal="center" vertical="center"/>
      <protection locked="0"/>
    </xf>
    <xf numFmtId="0" fontId="2" fillId="6" borderId="7" xfId="0" applyFont="1" applyFill="1" applyBorder="1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colors>
    <mruColors>
      <color rgb="FFFFEBE0"/>
      <color rgb="FFED8E53"/>
      <color rgb="FFF2F2F2"/>
      <color rgb="FF174738"/>
      <color rgb="FFEBE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Gráfico 1: Taxa</a:t>
            </a:r>
            <a:r>
              <a:rPr lang="pt-BR" sz="1200" baseline="0"/>
              <a:t> nominal líquida</a:t>
            </a:r>
            <a:endParaRPr lang="pt-BR" sz="1200"/>
          </a:p>
        </c:rich>
      </c:tx>
      <c:layout>
        <c:manualLayout>
          <c:xMode val="edge"/>
          <c:yMode val="edge"/>
          <c:x val="0.35036907005834339"/>
          <c:y val="6.751060235404685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5369128077414156E-2"/>
          <c:y val="8.5658307700259798E-2"/>
          <c:w val="0.98363839114705254"/>
          <c:h val="0.71527567331520625"/>
        </c:manualLayout>
      </c:layout>
      <c:barChart>
        <c:barDir val="col"/>
        <c:grouping val="clustered"/>
        <c:varyColors val="0"/>
        <c:ser>
          <c:idx val="0"/>
          <c:order val="0"/>
          <c:tx>
            <c:v>Tributação Atual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Comparador!$B$13:$B$23</c15:sqref>
                  </c15:fullRef>
                </c:ext>
              </c:extLst>
              <c:f>(Comparador!$B$13,Comparador!$B$15,Comparador!$B$17,Comparador!$B$19,Comparador!$B$21,Comparador!$B$23)</c:f>
              <c:strCache>
                <c:ptCount val="6"/>
                <c:pt idx="0">
                  <c:v>CRI IPCA+</c:v>
                </c:pt>
                <c:pt idx="1">
                  <c:v>CRA IPCA+</c:v>
                </c:pt>
                <c:pt idx="2">
                  <c:v>Debenture Incentivada IPCA+</c:v>
                </c:pt>
                <c:pt idx="3">
                  <c:v>LTN Pré-fixado</c:v>
                </c:pt>
                <c:pt idx="4">
                  <c:v>LFT Pós-fixado</c:v>
                </c:pt>
                <c:pt idx="5">
                  <c:v>Poupança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Comparador!$K$13:$K$23</c15:sqref>
                  </c15:fullRef>
                </c:ext>
              </c:extLst>
              <c:f>(Comparador!$K$13,Comparador!$K$15,Comparador!$K$17,Comparador!$K$19,Comparador!$K$21,Comparador!$K$23)</c:f>
              <c:numCache>
                <c:formatCode>General</c:formatCode>
                <c:ptCount val="6"/>
                <c:pt idx="0" formatCode="0.0%">
                  <c:v>0.13953992436364773</c:v>
                </c:pt>
                <c:pt idx="1" formatCode="0.0%">
                  <c:v>0.11339373538485938</c:v>
                </c:pt>
                <c:pt idx="2" formatCode="0.0%">
                  <c:v>0.11113244040235803</c:v>
                </c:pt>
                <c:pt idx="3" formatCode="0.0%">
                  <c:v>0.11551499999999999</c:v>
                </c:pt>
                <c:pt idx="4" formatCode="0.0%">
                  <c:v>9.2770391902255125E-2</c:v>
                </c:pt>
                <c:pt idx="5" formatCode="0.0%">
                  <c:v>7.0585609779292957E-2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9-4AF3-BB87-9D2AD0F8C2A2}"/>
            </c:ext>
          </c:extLst>
        </c:ser>
        <c:ser>
          <c:idx val="1"/>
          <c:order val="1"/>
          <c:tx>
            <c:v>Nova Proposta de IR</c:v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CRI IPCA+</c:v>
              </c:pt>
              <c:pt idx="1">
                <c:v>CRA IPCA+</c:v>
              </c:pt>
              <c:pt idx="2">
                <c:v>Debenture Incentivada IPCA+</c:v>
              </c:pt>
              <c:pt idx="3">
                <c:v>LTN Pré-fixado</c:v>
              </c:pt>
              <c:pt idx="4">
                <c:v>LFT Pós-fixado</c:v>
              </c:pt>
              <c:pt idx="5">
                <c:v>Poupança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Comparador!$N$13:$N$23</c15:sqref>
                  </c15:fullRef>
                </c:ext>
              </c:extLst>
              <c:f>(Comparador!$N$13,Comparador!$N$15,Comparador!$N$17,Comparador!$N$19,Comparador!$N$21,Comparador!$N$23)</c:f>
              <c:numCache>
                <c:formatCode>0.0%</c:formatCode>
                <c:ptCount val="6"/>
                <c:pt idx="0">
                  <c:v>0.13256292814546533</c:v>
                </c:pt>
                <c:pt idx="1">
                  <c:v>0.10772404861561641</c:v>
                </c:pt>
                <c:pt idx="2">
                  <c:v>0.10557581838224013</c:v>
                </c:pt>
                <c:pt idx="3">
                  <c:v>0.11211749999999999</c:v>
                </c:pt>
                <c:pt idx="4">
                  <c:v>9.0041850963953493E-2</c:v>
                </c:pt>
                <c:pt idx="5">
                  <c:v>7.0585609779292957E-2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5-483D-9151-9A9DDCEE9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41851071"/>
        <c:axId val="725406383"/>
      </c:barChart>
      <c:catAx>
        <c:axId val="94185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5406383"/>
        <c:crosses val="autoZero"/>
        <c:auto val="1"/>
        <c:lblAlgn val="ctr"/>
        <c:lblOffset val="100"/>
        <c:noMultiLvlLbl val="0"/>
      </c:catAx>
      <c:valAx>
        <c:axId val="725406383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94185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7249365249106"/>
          <c:y val="0.93019685039370081"/>
          <c:w val="0.71371078180114145"/>
          <c:h val="6.61563268716970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Gráfico 2: </a:t>
            </a:r>
            <a:r>
              <a:rPr lang="pt-BR" sz="1200"/>
              <a:t>Taxa nominal líquida em %CDI</a:t>
            </a:r>
          </a:p>
        </c:rich>
      </c:tx>
      <c:layout>
        <c:manualLayout>
          <c:xMode val="edge"/>
          <c:yMode val="edge"/>
          <c:x val="0.33287427849694851"/>
          <c:y val="1.2180463568102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649933952054906E-3"/>
          <c:y val="0.1438117182837155"/>
          <c:w val="0.99735006604794507"/>
          <c:h val="0.63712604210596979"/>
        </c:manualLayout>
      </c:layout>
      <c:barChart>
        <c:barDir val="col"/>
        <c:grouping val="clustered"/>
        <c:varyColors val="0"/>
        <c:ser>
          <c:idx val="0"/>
          <c:order val="0"/>
          <c:tx>
            <c:v>Tributação Atual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Comparador!$B$13:$B$23</c15:sqref>
                  </c15:fullRef>
                </c:ext>
              </c:extLst>
              <c:f>(Comparador!$B$13,Comparador!$B$15,Comparador!$B$17,Comparador!$B$19,Comparador!$B$21,Comparador!$B$23)</c:f>
              <c:strCache>
                <c:ptCount val="6"/>
                <c:pt idx="0">
                  <c:v>CRI IPCA+</c:v>
                </c:pt>
                <c:pt idx="1">
                  <c:v>CRA IPCA+</c:v>
                </c:pt>
                <c:pt idx="2">
                  <c:v>Debenture Incentivada IPCA+</c:v>
                </c:pt>
                <c:pt idx="3">
                  <c:v>LTN Pré-fixado</c:v>
                </c:pt>
                <c:pt idx="4">
                  <c:v>LFT Pós-fixado</c:v>
                </c:pt>
                <c:pt idx="5">
                  <c:v>Poupança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Comparador!$L$13:$L$23</c15:sqref>
                  </c15:fullRef>
                </c:ext>
              </c:extLst>
              <c:f>(Comparador!$L$13,Comparador!$L$15,Comparador!$L$17,Comparador!$L$19,Comparador!$L$21,Comparador!$L$23)</c:f>
              <c:numCache>
                <c:formatCode>0.00%</c:formatCode>
                <c:ptCount val="6"/>
                <c:pt idx="0">
                  <c:v>1.2850498842345852</c:v>
                </c:pt>
                <c:pt idx="1">
                  <c:v>1.0668734562897106</c:v>
                </c:pt>
                <c:pt idx="2">
                  <c:v>0.95906696483691511</c:v>
                </c:pt>
                <c:pt idx="3">
                  <c:v>1.0276322747884516</c:v>
                </c:pt>
                <c:pt idx="4">
                  <c:v>0.85</c:v>
                </c:pt>
                <c:pt idx="5">
                  <c:v>0.47057073192778476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9-4362-A034-0518CFE85F03}"/>
            </c:ext>
          </c:extLst>
        </c:ser>
        <c:ser>
          <c:idx val="1"/>
          <c:order val="1"/>
          <c:tx>
            <c:v>Nova Proposta de IR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CRI IPCA+</c:v>
              </c:pt>
              <c:pt idx="1">
                <c:v>CRA IPCA+</c:v>
              </c:pt>
              <c:pt idx="2">
                <c:v>Debenture Incentivada IPCA+</c:v>
              </c:pt>
              <c:pt idx="3">
                <c:v>LTN Pré-fixado</c:v>
              </c:pt>
              <c:pt idx="4">
                <c:v>LFT Pós-fixado</c:v>
              </c:pt>
              <c:pt idx="5">
                <c:v>Poupança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Comparador!$O$13:$O$23</c15:sqref>
                  </c15:fullRef>
                </c:ext>
              </c:extLst>
              <c:f>(Comparador!$O$13,Comparador!$O$15,Comparador!$O$17,Comparador!$O$19,Comparador!$O$21,Comparador!$O$23)</c:f>
              <c:numCache>
                <c:formatCode>0.00%</c:formatCode>
                <c:ptCount val="6"/>
                <c:pt idx="0">
                  <c:v>1.2207973900228559</c:v>
                </c:pt>
                <c:pt idx="1">
                  <c:v>1.013529783475225</c:v>
                </c:pt>
                <c:pt idx="2">
                  <c:v>0.9111136165950694</c:v>
                </c:pt>
                <c:pt idx="3">
                  <c:v>0.99740779611820296</c:v>
                </c:pt>
                <c:pt idx="4">
                  <c:v>0.82499999999999996</c:v>
                </c:pt>
                <c:pt idx="5">
                  <c:v>0.47057073192778476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2-4E99-9013-5D9FF924F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41851071"/>
        <c:axId val="725406383"/>
      </c:barChart>
      <c:catAx>
        <c:axId val="94185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5406383"/>
        <c:crosses val="autoZero"/>
        <c:auto val="1"/>
        <c:lblAlgn val="ctr"/>
        <c:lblOffset val="100"/>
        <c:noMultiLvlLbl val="0"/>
      </c:catAx>
      <c:valAx>
        <c:axId val="725406383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4185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516199093324834"/>
          <c:y val="0.92509350315422645"/>
          <c:w val="0.51428822428079046"/>
          <c:h val="7.4631423188782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9</xdr:row>
      <xdr:rowOff>28573</xdr:rowOff>
    </xdr:from>
    <xdr:to>
      <xdr:col>7</xdr:col>
      <xdr:colOff>244475</xdr:colOff>
      <xdr:row>20</xdr:row>
      <xdr:rowOff>149225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AEFCDBA-44E2-4041-B9DF-5BCCB09DB768}"/>
            </a:ext>
          </a:extLst>
        </xdr:cNvPr>
        <xdr:cNvSpPr txBox="1"/>
      </xdr:nvSpPr>
      <xdr:spPr>
        <a:xfrm>
          <a:off x="1104900" y="1838323"/>
          <a:ext cx="4006850" cy="2111377"/>
        </a:xfrm>
        <a:prstGeom prst="rect">
          <a:avLst/>
        </a:prstGeom>
        <a:solidFill>
          <a:schemeClr val="tx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latinLnBrk="0" hangingPunct="1"/>
          <a:endParaRPr lang="pt-BR" sz="12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endParaRPr lang="pt-BR" sz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latinLnBrk="0" hangingPunct="1"/>
          <a:r>
            <a:rPr lang="pt-BR" sz="12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João Neves, CNPI</a:t>
          </a:r>
          <a:endParaRPr lang="en-US" sz="1200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1</xdr:col>
      <xdr:colOff>339585</xdr:colOff>
      <xdr:row>5</xdr:row>
      <xdr:rowOff>124240</xdr:rowOff>
    </xdr:from>
    <xdr:to>
      <xdr:col>5</xdr:col>
      <xdr:colOff>375731</xdr:colOff>
      <xdr:row>9</xdr:row>
      <xdr:rowOff>173935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E15776D-C4A6-9590-BB81-D94AB564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107" y="1615110"/>
          <a:ext cx="3614233" cy="1043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116416</xdr:colOff>
      <xdr:row>6</xdr:row>
      <xdr:rowOff>179917</xdr:rowOff>
    </xdr:from>
    <xdr:to>
      <xdr:col>22</xdr:col>
      <xdr:colOff>963083</xdr:colOff>
      <xdr:row>21</xdr:row>
      <xdr:rowOff>10584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C25FB1-2E3E-12C0-1FBA-C82805529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26</xdr:row>
      <xdr:rowOff>119590</xdr:rowOff>
    </xdr:from>
    <xdr:to>
      <xdr:col>8</xdr:col>
      <xdr:colOff>609600</xdr:colOff>
      <xdr:row>29</xdr:row>
      <xdr:rowOff>169333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9CBFD7E-9988-7F19-6EA1-DD5E422DB6E8}"/>
            </a:ext>
          </a:extLst>
        </xdr:cNvPr>
        <xdr:cNvSpPr txBox="1"/>
      </xdr:nvSpPr>
      <xdr:spPr>
        <a:xfrm>
          <a:off x="4111625" y="5146673"/>
          <a:ext cx="2456392" cy="621243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Caso queira,</a:t>
          </a:r>
          <a:r>
            <a:rPr lang="pt-BR" sz="1100" baseline="0"/>
            <a:t> i</a:t>
          </a:r>
          <a:r>
            <a:rPr lang="pt-BR" sz="1100"/>
            <a:t>nsira o CDI e IPCA médio do período. Os valores preenchidos são nossas premissas.</a:t>
          </a:r>
        </a:p>
      </xdr:txBody>
    </xdr:sp>
    <xdr:clientData/>
  </xdr:twoCellAnchor>
  <xdr:twoCellAnchor>
    <xdr:from>
      <xdr:col>1</xdr:col>
      <xdr:colOff>114299</xdr:colOff>
      <xdr:row>7</xdr:row>
      <xdr:rowOff>114299</xdr:rowOff>
    </xdr:from>
    <xdr:to>
      <xdr:col>4</xdr:col>
      <xdr:colOff>495299</xdr:colOff>
      <xdr:row>9</xdr:row>
      <xdr:rowOff>180974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B5EDF8D3-2B89-4DA6-B4BE-B334AEA5EE32}"/>
            </a:ext>
          </a:extLst>
        </xdr:cNvPr>
        <xdr:cNvSpPr txBox="1"/>
      </xdr:nvSpPr>
      <xdr:spPr>
        <a:xfrm>
          <a:off x="723899" y="1323974"/>
          <a:ext cx="2924175" cy="44767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Preencha apenas os campos</a:t>
          </a:r>
          <a:r>
            <a:rPr lang="pt-BR" sz="1100" baseline="0"/>
            <a:t> em verde com as respectivas informações do investimento.</a:t>
          </a:r>
          <a:endParaRPr lang="pt-BR" sz="1100"/>
        </a:p>
      </xdr:txBody>
    </xdr:sp>
    <xdr:clientData/>
  </xdr:twoCellAnchor>
  <xdr:twoCellAnchor>
    <xdr:from>
      <xdr:col>16</xdr:col>
      <xdr:colOff>95250</xdr:colOff>
      <xdr:row>21</xdr:row>
      <xdr:rowOff>127000</xdr:rowOff>
    </xdr:from>
    <xdr:to>
      <xdr:col>22</xdr:col>
      <xdr:colOff>952499</xdr:colOff>
      <xdr:row>36</xdr:row>
      <xdr:rowOff>10584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863BB11-60DC-490B-82EC-07DCBEE5E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84668</xdr:colOff>
      <xdr:row>0</xdr:row>
      <xdr:rowOff>42333</xdr:rowOff>
    </xdr:from>
    <xdr:to>
      <xdr:col>2</xdr:col>
      <xdr:colOff>1407584</xdr:colOff>
      <xdr:row>4</xdr:row>
      <xdr:rowOff>144678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E154310-F942-06B1-7AF3-F00EA4BFC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68" y="42333"/>
          <a:ext cx="2465916" cy="705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142875</xdr:rowOff>
    </xdr:from>
    <xdr:to>
      <xdr:col>3</xdr:col>
      <xdr:colOff>63131</xdr:colOff>
      <xdr:row>4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3AF0C9-242B-2CF3-47E7-C312F094A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2875"/>
          <a:ext cx="3377831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</xdr:colOff>
      <xdr:row>0</xdr:row>
      <xdr:rowOff>1</xdr:rowOff>
    </xdr:from>
    <xdr:to>
      <xdr:col>18</xdr:col>
      <xdr:colOff>0</xdr:colOff>
      <xdr:row>33</xdr:row>
      <xdr:rowOff>0</xdr:rowOff>
    </xdr:to>
    <xdr:sp macro="" textlink="">
      <xdr:nvSpPr>
        <xdr:cNvPr id="4" name="CaixaDeTexto 2">
          <a:extLst>
            <a:ext uri="{FF2B5EF4-FFF2-40B4-BE49-F238E27FC236}">
              <a16:creationId xmlns:a16="http://schemas.microsoft.com/office/drawing/2014/main" id="{7DBF418C-B4A3-4673-9EED-C49210CB6CBC}"/>
            </a:ext>
          </a:extLst>
        </xdr:cNvPr>
        <xdr:cNvSpPr txBox="1"/>
      </xdr:nvSpPr>
      <xdr:spPr>
        <a:xfrm>
          <a:off x="3" y="1"/>
          <a:ext cx="13715997" cy="8172449"/>
        </a:xfrm>
        <a:prstGeom prst="rect">
          <a:avLst/>
        </a:prstGeom>
        <a:solidFill>
          <a:schemeClr val="accent3"/>
        </a:solidFill>
        <a:ln w="9525" cmpd="sng">
          <a:solidFill>
            <a:srgbClr val="EBE5D5">
              <a:shade val="50000"/>
            </a:srgb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Exoneração de Responsabilidade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Este relatório foi produzido pela EQI Investimentos Corretora de Títulos e Valores Mobiliários S.A. (“EQI Investimentos”). O conteúdo dos relatórios não pode ser reproduzido, publicado, copiado, divulgado, distribuído, resumido, extraído ou de outra forma referenciado, no todo ou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em parte, sem o consentimento prévio e expresso da EQI Research. Nossas análises são baseadas em informações obtidas junto a fontes públicas que consideramos confiáveis na data de publicação, dentre outras fontes. Na medida em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que as opiniões nascem de julgamentos e estimativas, estão naturalmente sujeitas a mudanças. O conteúdo dos relatórios é gerado consoante as condições econômicas, de mercado, entre outras, disponíveis na data de sua publicação,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de modo que as conclusões apresentadas estão sujeitas a variações em virtude de uma gama de fatores sobre os quais a EQI Research não tem qualquer controle. Cada relatório somente é válido na sua respectiva data, sendo que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eventos futuros podem prejudicar suas conclusões. Rentabilidade obtida no passado não representa garantia de rentabilidade futura. A EQI Research busca, mas não assume nenhuma responsabilidade em atualizar, revisar, retificar ou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anular tais relatórios em virtude de qualquer acontecimento futuro.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Nossos relatórios possuem caráter informativo e não representam oferta de negociação de valores mobiliários ou outros instrumentos financeiros em qualquer jurisdição. As análises, informações e estratégias de investimento têm como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único propósito fomentar o debate entre os analistas da EQI Research e os seus clientes. A EQI Research ressalta que os relatórios não incluem aconselhamentos de qualquer natureza, como legal ou contábil. O conteúdo dos relatórios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não é e nem deve ser considerado como promessa ou garantia com relação ao passado ou ao futuro, nem como recomendação para qualquer fim. Cada cliente deve, portanto, desenvolver suas próprias análises e estratégias.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As informações disponibilizadas no conteúdo deste relatório não possuem relação com objetivos específicos de investimentos, situação financeira ou necessidade particular de qualquer destinatário específico, não devendo servir como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única fonte de informações no processo decisório do investidor que, antes de decidir, deverá realizar, preferencialmente com a ajuda de um profissional devidamente qualificado, uma avaliação minuciosa do produto e respectivos riscos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face a seus objetivos pessoas e à sua tolerância a risco. Portanto, nada neste relatório constitui indicação de que a estratégia de investimento ou potenciais recomendações citadas são adequadas ao perfil do destinatário ou apropriadas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às circunstâncias individuais do destinatário e tampouco constituem uma recomendação pessoal.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Os produtos e serviços mencionados nos relatórios podem não estar disponíveis em todas as jurisdições ou para determinadas categorias de investidores. Adicionalmente, a legislação e regulamentação de proteção a investidores de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determinadas jurisdições podem não se aplicar a produtos e serviços registrados em outras jurisdições, sujeitos à legislação e regulamentação aplicável, além de previsões contratuais específicas. O recebimento do conteúdo dos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relatórios não faz com que você esteja automaticamente enquadrado em determinadas categorias de investimento necessárias para a aplicação em alguns produtos e serviços. A verificação do perfil de investimento de cada investidor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deverá, portanto, sempre prevalecer na checagem dos produtos e serviços aptos a integrarem sua carteira de investimentos, sendo certo que nos reservamos ao direito de eventualmente recusarmos determinadas operações que não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sejam compatíveis com o seu perfil de investimento.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A EQI Research ou empresas a nós ligadas mantém, ou tem a intenção de manter, relações comerciais com determinadas companhias cobertas nos relatórios. Por esta razão, os clientes devem estar cientes de eventuais conflitos de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interesses que potencialmente possam afetar os objetivos dos relatórios. Os clientes devem considerar os relatórios apenas como mais um fator no eventual processo de tomada de decisão de seus investimentos.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A EQI Research confia no uso de barreiras de informação para controlar o fluxo de informação contida em uma ou mais áreas dentro da EQI Research, em outras áreas, unidades, grupos e filiadas. A remuneração do analista responsável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pelo relatório é determinada pela direção da EQI Research e pelos diretores seniores da EQI Research.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A EQI Research não se responsabiliza assim como não garante que os investidores irão obter lucros. A EQI Research tampouco irá dividir qualquer ganho de investimentos com os investidores assim como não irá aceitar qualquer passivo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causado por perdas. Os investimentos envolvem riscos e os investidores devem ter prudência ao tomar suas decisões de investimento. A EQI Research não tem obrigações fiduciarias com os destinatários dos relatórios e, ao divulgá-los,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não apresenta capacidade fiduciária.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A EQI Research, suas empresas afiliadas, subsidiárias, seus funcionários, diretores e agentes não se responsabilizam e não aceitam nenhum passivo oriundo de perda ou prejuízo eventualmente provocado pelo uso de parte ou da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integralidade do conteúdo dos relatórios.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Certificação dos analistas: Cada analista da área de Análise &amp; Research primariamente responsável pelo conteúdo desse relatório de investimentos, total ou em parte, certifica que: i) Todos os pontos de vista expressos refletem suas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opiniões e pontos de vista pessoais sobre as ações e seus emissores e tais recomendações foram elaboradas de maneira independente, inclusive em relação a EQI Research e / ou suas afiliadas, conforme o caso. ii) nenhuma parte de sua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remuneração foi, é ou será, direta ou indiretamente,relacionada a quaisquer recomendações ou opiniões específicas aqui contidas ou relacionadas ao preço de qualquer valor mobiliário discutido neste relatório.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Parte da remuneração do analista é proveniente dos lucros da EQI Research como um todo e/ou de suas afiliadas e, consequentemente, das receitas oriundas de transações realizadas pela EQI Research e / ou suas afiliadas.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Public Sans"/>
              <a:ea typeface="+mn-ea"/>
              <a:cs typeface="+mn-cs"/>
            </a:rPr>
            <a:t>Quando aplicável, o analista responsável por este relatório e certificado de acordo com as normas brasileiras será identificado em negrito na primeira página deste relatório e será o primeiro nome na lista de assinaturas.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4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Public Sans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pt-BR" sz="11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Public Sans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- EQI Research">
  <a:themeElements>
    <a:clrScheme name="Personalizada EQI Research">
      <a:dk1>
        <a:sysClr val="windowText" lastClr="000000"/>
      </a:dk1>
      <a:lt1>
        <a:srgbClr val="FFFFFF"/>
      </a:lt1>
      <a:dk2>
        <a:srgbClr val="00291E"/>
      </a:dk2>
      <a:lt2>
        <a:srgbClr val="CCCCCC"/>
      </a:lt2>
      <a:accent1>
        <a:srgbClr val="00291E"/>
      </a:accent1>
      <a:accent2>
        <a:srgbClr val="009966"/>
      </a:accent2>
      <a:accent3>
        <a:srgbClr val="00CC88"/>
      </a:accent3>
      <a:accent4>
        <a:srgbClr val="F2EDED"/>
      </a:accent4>
      <a:accent5>
        <a:srgbClr val="FFFAFA"/>
      </a:accent5>
      <a:accent6>
        <a:srgbClr val="000000"/>
      </a:accent6>
      <a:hlink>
        <a:srgbClr val="0563C1"/>
      </a:hlink>
      <a:folHlink>
        <a:srgbClr val="954F72"/>
      </a:folHlink>
    </a:clrScheme>
    <a:fontScheme name="Tema EQI Research">
      <a:majorFont>
        <a:latin typeface="Aeonik Black"/>
        <a:ea typeface=""/>
        <a:cs typeface=""/>
      </a:majorFont>
      <a:minorFont>
        <a:latin typeface="Aeoni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Tema1" id="{0D630643-C8F6-4FB9-945E-01374B56C283}" vid="{DBC3ED9E-D465-4406-B895-4190EBDB811B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bcb.gov.br/publicacoes/focus" TargetMode="External"/><Relationship Id="rId1" Type="http://schemas.openxmlformats.org/officeDocument/2006/relationships/printerSettings" Target="../printerSettings/printerSettings3.bin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37E4-2038-4004-950D-2B31E7A9B6F7}">
  <sheetPr codeName="Planilha3"/>
  <dimension ref="A1:W30"/>
  <sheetViews>
    <sheetView showGridLines="0" zoomScale="115" zoomScaleNormal="115" zoomScaleSheetLayoutView="115" workbookViewId="0">
      <selection activeCell="I11" sqref="I11"/>
    </sheetView>
  </sheetViews>
  <sheetFormatPr baseColWidth="10" defaultColWidth="0" defaultRowHeight="14.25" customHeight="1" zeroHeight="1"/>
  <cols>
    <col min="1" max="8" width="10.5" customWidth="1"/>
    <col min="9" max="9" width="9.83203125" customWidth="1"/>
    <col min="10" max="10" width="2.6640625" customWidth="1"/>
    <col min="11" max="11" width="70.83203125" customWidth="1"/>
    <col min="12" max="12" width="10.5" customWidth="1"/>
    <col min="13" max="23" width="10.5" hidden="1" customWidth="1"/>
    <col min="24" max="16384" width="8.1640625" hidden="1"/>
  </cols>
  <sheetData>
    <row r="1" spans="1:22" ht="15">
      <c r="A1" s="54"/>
      <c r="B1" s="54"/>
      <c r="C1" s="54"/>
      <c r="D1" s="54"/>
      <c r="E1" s="54"/>
      <c r="F1" s="54"/>
      <c r="G1" s="54"/>
      <c r="H1" s="54"/>
      <c r="I1" s="55"/>
      <c r="J1" s="55"/>
      <c r="K1" s="55"/>
      <c r="L1" s="55"/>
      <c r="M1" s="52"/>
      <c r="N1" s="53"/>
      <c r="O1" s="53"/>
      <c r="P1" s="53"/>
      <c r="Q1" s="53"/>
      <c r="R1" s="53"/>
      <c r="S1" s="53"/>
      <c r="T1" s="53"/>
      <c r="U1" s="53"/>
      <c r="V1" s="53"/>
    </row>
    <row r="2" spans="1:22" ht="15">
      <c r="A2" s="54"/>
      <c r="B2" s="54"/>
      <c r="C2" s="54"/>
      <c r="D2" s="54"/>
      <c r="E2" s="54"/>
      <c r="F2" s="54"/>
      <c r="G2" s="54"/>
      <c r="H2" s="54"/>
      <c r="I2" s="55"/>
      <c r="J2" s="55"/>
      <c r="K2" s="55"/>
      <c r="L2" s="55"/>
      <c r="M2" s="52"/>
      <c r="N2" s="53"/>
      <c r="O2" s="53"/>
      <c r="P2" s="53"/>
      <c r="Q2" s="53"/>
      <c r="R2" s="53"/>
      <c r="S2" s="53"/>
      <c r="T2" s="53"/>
      <c r="U2" s="53"/>
      <c r="V2" s="53"/>
    </row>
    <row r="3" spans="1:22" ht="15">
      <c r="A3" s="54"/>
      <c r="B3" s="54"/>
      <c r="C3" s="54"/>
      <c r="D3" s="54"/>
      <c r="E3" s="54"/>
      <c r="F3" s="54"/>
      <c r="G3" s="54"/>
      <c r="H3" s="54"/>
      <c r="I3" s="55"/>
      <c r="J3" s="55"/>
      <c r="K3" s="56" t="s">
        <v>0</v>
      </c>
      <c r="L3" s="55"/>
      <c r="M3" s="52"/>
      <c r="N3" s="53"/>
      <c r="O3" s="53"/>
      <c r="P3" s="53"/>
      <c r="Q3" s="53"/>
      <c r="R3" s="53"/>
      <c r="S3" s="53"/>
      <c r="T3" s="53"/>
      <c r="U3" s="53"/>
      <c r="V3" s="53"/>
    </row>
    <row r="4" spans="1:22" ht="15">
      <c r="A4" s="54"/>
      <c r="B4" s="54"/>
      <c r="C4" s="54"/>
      <c r="D4" s="54"/>
      <c r="E4" s="54"/>
      <c r="F4" s="54"/>
      <c r="G4" s="54"/>
      <c r="H4" s="54"/>
      <c r="I4" s="55"/>
      <c r="J4" s="55"/>
      <c r="K4" s="55"/>
      <c r="L4" s="55"/>
      <c r="M4" s="52"/>
      <c r="N4" s="53"/>
      <c r="O4" s="53"/>
      <c r="P4" s="53"/>
      <c r="Q4" s="53"/>
      <c r="R4" s="53"/>
      <c r="S4" s="53"/>
      <c r="T4" s="53"/>
      <c r="U4" s="53"/>
      <c r="V4" s="53"/>
    </row>
    <row r="5" spans="1:22" ht="15">
      <c r="A5" s="54"/>
      <c r="B5" s="54"/>
      <c r="C5" s="54"/>
      <c r="D5" s="54"/>
      <c r="E5" s="54"/>
      <c r="F5" s="54"/>
      <c r="G5" s="54"/>
      <c r="H5" s="54"/>
      <c r="I5" s="57" t="s">
        <v>1</v>
      </c>
      <c r="J5" s="55"/>
      <c r="K5" s="55" t="s">
        <v>2</v>
      </c>
      <c r="L5" s="55"/>
      <c r="M5" s="52"/>
      <c r="N5" s="53"/>
      <c r="O5" s="53"/>
      <c r="P5" s="53"/>
      <c r="Q5" s="53"/>
      <c r="R5" s="53"/>
      <c r="S5" s="53"/>
      <c r="T5" s="53"/>
      <c r="U5" s="53"/>
      <c r="V5" s="53"/>
    </row>
    <row r="6" spans="1:22" ht="15">
      <c r="A6" s="54"/>
      <c r="B6" s="54"/>
      <c r="C6" s="54"/>
      <c r="D6" s="54"/>
      <c r="E6" s="54"/>
      <c r="F6" s="54"/>
      <c r="G6" s="54"/>
      <c r="H6" s="54"/>
      <c r="I6" s="57" t="s">
        <v>3</v>
      </c>
      <c r="J6" s="58"/>
      <c r="K6" s="55" t="s">
        <v>4</v>
      </c>
      <c r="L6" s="55"/>
      <c r="M6" s="52"/>
      <c r="N6" s="53"/>
      <c r="O6" s="53"/>
      <c r="P6" s="53"/>
      <c r="Q6" s="53"/>
      <c r="R6" s="53"/>
      <c r="S6" s="53"/>
      <c r="T6" s="53"/>
      <c r="U6" s="53"/>
      <c r="V6" s="53"/>
    </row>
    <row r="7" spans="1:22" ht="15">
      <c r="A7" s="54"/>
      <c r="B7" s="54"/>
      <c r="C7" s="54"/>
      <c r="D7" s="54"/>
      <c r="E7" s="54"/>
      <c r="F7" s="54"/>
      <c r="G7" s="54"/>
      <c r="H7" s="54"/>
      <c r="I7" s="57" t="s">
        <v>5</v>
      </c>
      <c r="J7" s="58"/>
      <c r="K7" s="55" t="s">
        <v>6</v>
      </c>
      <c r="L7" s="55"/>
      <c r="M7" s="52"/>
      <c r="N7" s="53"/>
      <c r="O7" s="53"/>
      <c r="P7" s="53"/>
      <c r="Q7" s="53"/>
      <c r="R7" s="53"/>
      <c r="S7" s="53"/>
      <c r="T7" s="53"/>
      <c r="U7" s="53"/>
      <c r="V7" s="53"/>
    </row>
    <row r="8" spans="1:22" ht="15">
      <c r="A8" s="54"/>
      <c r="B8" s="54"/>
      <c r="C8" s="54"/>
      <c r="D8" s="54"/>
      <c r="E8" s="54"/>
      <c r="F8" s="54"/>
      <c r="G8" s="54"/>
      <c r="H8" s="54"/>
      <c r="I8" s="57" t="s">
        <v>7</v>
      </c>
      <c r="J8" s="58"/>
      <c r="K8" s="55" t="s">
        <v>8</v>
      </c>
      <c r="L8" s="55"/>
      <c r="M8" s="52"/>
      <c r="N8" s="53"/>
      <c r="O8" s="53"/>
      <c r="P8" s="53"/>
      <c r="Q8" s="53"/>
      <c r="R8" s="53"/>
      <c r="S8" s="53"/>
      <c r="T8" s="53"/>
      <c r="U8" s="53"/>
      <c r="V8" s="53"/>
    </row>
    <row r="9" spans="1:22" ht="15">
      <c r="A9" s="54"/>
      <c r="B9" s="54"/>
      <c r="C9" s="54"/>
      <c r="D9" s="54"/>
      <c r="E9" s="54"/>
      <c r="F9" s="54"/>
      <c r="G9" s="54"/>
      <c r="H9" s="54"/>
      <c r="I9" s="57" t="s">
        <v>9</v>
      </c>
      <c r="J9" s="58"/>
      <c r="K9" s="55" t="s">
        <v>10</v>
      </c>
      <c r="L9" s="55"/>
      <c r="M9" s="52"/>
      <c r="N9" s="53"/>
      <c r="O9" s="53"/>
      <c r="P9" s="53"/>
      <c r="Q9" s="53"/>
      <c r="R9" s="53"/>
      <c r="S9" s="53"/>
      <c r="T9" s="53"/>
      <c r="U9" s="53"/>
      <c r="V9" s="53"/>
    </row>
    <row r="10" spans="1:22" ht="15">
      <c r="A10" s="54"/>
      <c r="B10" s="54"/>
      <c r="C10" s="54"/>
      <c r="D10" s="54"/>
      <c r="E10" s="54"/>
      <c r="F10" s="54"/>
      <c r="G10" s="54"/>
      <c r="H10" s="54"/>
      <c r="I10" s="58"/>
      <c r="J10" s="58"/>
      <c r="K10" s="55"/>
      <c r="L10" s="55"/>
      <c r="M10" s="52"/>
      <c r="N10" s="53"/>
      <c r="O10" s="53"/>
      <c r="P10" s="53"/>
      <c r="Q10" s="53"/>
      <c r="R10" s="53"/>
      <c r="S10" s="53"/>
      <c r="T10" s="53"/>
      <c r="U10" s="53"/>
      <c r="V10" s="53"/>
    </row>
    <row r="11" spans="1:22" ht="15">
      <c r="A11" s="54"/>
      <c r="B11" s="54"/>
      <c r="C11" s="54"/>
      <c r="D11" s="54"/>
      <c r="E11" s="54"/>
      <c r="F11" s="54"/>
      <c r="G11" s="54"/>
      <c r="H11" s="54"/>
      <c r="I11" s="58"/>
      <c r="J11" s="58"/>
      <c r="K11" s="55"/>
      <c r="L11" s="55"/>
      <c r="M11" s="52"/>
      <c r="N11" s="53"/>
      <c r="O11" s="53"/>
      <c r="P11" s="53"/>
      <c r="Q11" s="53"/>
      <c r="R11" s="53"/>
      <c r="S11" s="53"/>
      <c r="T11" s="53"/>
      <c r="U11" s="53"/>
      <c r="V11" s="53"/>
    </row>
    <row r="12" spans="1:22" ht="15">
      <c r="A12" s="54"/>
      <c r="B12" s="54"/>
      <c r="C12" s="54"/>
      <c r="D12" s="54"/>
      <c r="E12" s="54"/>
      <c r="F12" s="54"/>
      <c r="G12" s="54"/>
      <c r="H12" s="54"/>
      <c r="I12" s="55"/>
      <c r="J12" s="55"/>
      <c r="K12" s="56"/>
      <c r="L12" s="55"/>
      <c r="M12" s="52"/>
      <c r="N12" s="53"/>
      <c r="O12" s="53"/>
      <c r="P12" s="53"/>
      <c r="Q12" s="53"/>
      <c r="R12" s="53"/>
      <c r="S12" s="53"/>
      <c r="T12" s="53"/>
      <c r="U12" s="53"/>
      <c r="V12" s="53"/>
    </row>
    <row r="13" spans="1:22" ht="15">
      <c r="A13" s="54"/>
      <c r="B13" s="54"/>
      <c r="C13" s="54"/>
      <c r="D13" s="54"/>
      <c r="E13" s="54"/>
      <c r="F13" s="54"/>
      <c r="G13" s="54"/>
      <c r="H13" s="54"/>
      <c r="I13" s="55"/>
      <c r="J13" s="55"/>
      <c r="K13" s="55"/>
      <c r="L13" s="55"/>
      <c r="M13" s="52"/>
      <c r="N13" s="53"/>
      <c r="O13" s="53"/>
      <c r="P13" s="53"/>
      <c r="Q13" s="53"/>
      <c r="R13" s="53"/>
      <c r="S13" s="53"/>
      <c r="T13" s="53"/>
      <c r="U13" s="53"/>
      <c r="V13" s="53"/>
    </row>
    <row r="14" spans="1:22" ht="15">
      <c r="A14" s="54"/>
      <c r="B14" s="54"/>
      <c r="C14" s="54"/>
      <c r="D14" s="54"/>
      <c r="E14" s="54"/>
      <c r="F14" s="54"/>
      <c r="G14" s="54"/>
      <c r="H14" s="54"/>
      <c r="I14" s="55"/>
      <c r="J14" s="55"/>
      <c r="K14" s="55"/>
      <c r="L14" s="55"/>
      <c r="M14" s="52"/>
      <c r="N14" s="53"/>
      <c r="O14" s="53"/>
      <c r="P14" s="53"/>
      <c r="Q14" s="53"/>
      <c r="R14" s="53"/>
      <c r="S14" s="53"/>
      <c r="T14" s="53"/>
      <c r="U14" s="53"/>
      <c r="V14" s="53"/>
    </row>
    <row r="15" spans="1:22" ht="15">
      <c r="A15" s="54"/>
      <c r="B15" s="54"/>
      <c r="C15" s="54"/>
      <c r="D15" s="54"/>
      <c r="E15" s="54"/>
      <c r="F15" s="54"/>
      <c r="G15" s="54"/>
      <c r="H15" s="54"/>
      <c r="I15" s="55"/>
      <c r="J15" s="55"/>
      <c r="K15" s="55"/>
      <c r="L15" s="55"/>
      <c r="M15" s="52"/>
      <c r="N15" s="53"/>
      <c r="O15" s="53"/>
      <c r="P15" s="53"/>
      <c r="Q15" s="53"/>
      <c r="R15" s="53"/>
      <c r="S15" s="53"/>
      <c r="T15" s="53"/>
      <c r="U15" s="53"/>
      <c r="V15" s="53"/>
    </row>
    <row r="16" spans="1:22" ht="15">
      <c r="A16" s="54"/>
      <c r="B16" s="54"/>
      <c r="C16" s="54"/>
      <c r="D16" s="54"/>
      <c r="E16" s="54"/>
      <c r="F16" s="54"/>
      <c r="G16" s="54"/>
      <c r="H16" s="54"/>
      <c r="I16" s="55"/>
      <c r="J16" s="55"/>
      <c r="K16" s="55"/>
      <c r="L16" s="55"/>
      <c r="M16" s="52"/>
      <c r="N16" s="53"/>
      <c r="O16" s="53"/>
      <c r="P16" s="53"/>
      <c r="Q16" s="53"/>
      <c r="R16" s="53"/>
      <c r="S16" s="53"/>
      <c r="T16" s="53"/>
      <c r="U16" s="53"/>
      <c r="V16" s="53"/>
    </row>
    <row r="17" spans="1:22" ht="15">
      <c r="A17" s="54"/>
      <c r="B17" s="54"/>
      <c r="C17" s="54"/>
      <c r="D17" s="54"/>
      <c r="E17" s="54"/>
      <c r="F17" s="54"/>
      <c r="G17" s="54"/>
      <c r="H17" s="54"/>
      <c r="I17" s="55"/>
      <c r="J17" s="55"/>
      <c r="K17" s="55"/>
      <c r="L17" s="55"/>
      <c r="M17" s="52"/>
      <c r="N17" s="53"/>
      <c r="O17" s="53"/>
      <c r="P17" s="53"/>
      <c r="Q17" s="53"/>
      <c r="R17" s="53"/>
      <c r="S17" s="53"/>
      <c r="T17" s="53"/>
      <c r="U17" s="53"/>
      <c r="V17" s="53"/>
    </row>
    <row r="18" spans="1:22" ht="15">
      <c r="A18" s="54"/>
      <c r="B18" s="54"/>
      <c r="C18" s="54"/>
      <c r="D18" s="54"/>
      <c r="E18" s="54"/>
      <c r="F18" s="54"/>
      <c r="G18" s="54"/>
      <c r="H18" s="54"/>
      <c r="I18" s="55"/>
      <c r="J18" s="55"/>
      <c r="K18" s="55"/>
      <c r="L18" s="55"/>
      <c r="M18" s="52"/>
      <c r="N18" s="53"/>
      <c r="O18" s="53"/>
      <c r="P18" s="53"/>
      <c r="Q18" s="53"/>
      <c r="R18" s="53"/>
      <c r="S18" s="53"/>
      <c r="T18" s="53"/>
      <c r="U18" s="53"/>
      <c r="V18" s="53"/>
    </row>
    <row r="19" spans="1:22" ht="15">
      <c r="A19" s="54"/>
      <c r="B19" s="54"/>
      <c r="C19" s="54"/>
      <c r="D19" s="54"/>
      <c r="E19" s="54"/>
      <c r="F19" s="54"/>
      <c r="G19" s="54"/>
      <c r="H19" s="54"/>
      <c r="I19" s="55"/>
      <c r="J19" s="55"/>
      <c r="K19" s="55"/>
      <c r="L19" s="55"/>
      <c r="M19" s="52"/>
      <c r="N19" s="53"/>
      <c r="O19" s="53"/>
      <c r="P19" s="53"/>
      <c r="Q19" s="53"/>
      <c r="R19" s="53"/>
      <c r="S19" s="53"/>
      <c r="T19" s="53"/>
      <c r="U19" s="53"/>
      <c r="V19" s="53"/>
    </row>
    <row r="20" spans="1:22" ht="15">
      <c r="A20" s="54"/>
      <c r="B20" s="54"/>
      <c r="C20" s="54"/>
      <c r="D20" s="54"/>
      <c r="E20" s="54"/>
      <c r="F20" s="54"/>
      <c r="G20" s="54"/>
      <c r="H20" s="54"/>
      <c r="I20" s="55"/>
      <c r="J20" s="55"/>
      <c r="K20" s="59" t="s">
        <v>11</v>
      </c>
      <c r="L20" s="55"/>
      <c r="M20" s="52"/>
      <c r="N20" s="53"/>
      <c r="O20" s="53"/>
      <c r="P20" s="53"/>
      <c r="Q20" s="53"/>
      <c r="R20" s="53"/>
      <c r="S20" s="53"/>
      <c r="T20" s="53"/>
      <c r="U20" s="53"/>
      <c r="V20" s="53"/>
    </row>
    <row r="21" spans="1:22" ht="31.5" customHeight="1">
      <c r="A21" s="54"/>
      <c r="B21" s="54"/>
      <c r="C21" s="54"/>
      <c r="D21" s="54"/>
      <c r="E21" s="54"/>
      <c r="F21" s="54"/>
      <c r="G21" s="54"/>
      <c r="H21" s="54"/>
      <c r="I21" s="55"/>
      <c r="J21" s="55"/>
      <c r="K21" s="60" t="s">
        <v>12</v>
      </c>
      <c r="L21" s="55"/>
      <c r="M21" s="52"/>
      <c r="N21" s="53"/>
      <c r="O21" s="53"/>
      <c r="P21" s="53"/>
      <c r="Q21" s="53"/>
      <c r="R21" s="53"/>
      <c r="S21" s="53"/>
      <c r="T21" s="53"/>
      <c r="U21" s="53"/>
      <c r="V21" s="53"/>
    </row>
    <row r="22" spans="1:22" ht="15">
      <c r="A22" s="54"/>
      <c r="B22" s="54"/>
      <c r="C22" s="54"/>
      <c r="D22" s="54"/>
      <c r="E22" s="54"/>
      <c r="F22" s="54"/>
      <c r="G22" s="54"/>
      <c r="H22" s="54"/>
      <c r="I22" s="55"/>
      <c r="J22" s="55"/>
      <c r="K22" s="55"/>
      <c r="L22" s="55"/>
      <c r="M22" s="52"/>
      <c r="N22" s="53"/>
      <c r="O22" s="53"/>
      <c r="P22" s="53"/>
      <c r="Q22" s="53"/>
      <c r="R22" s="53"/>
      <c r="S22" s="53"/>
      <c r="T22" s="53"/>
      <c r="U22" s="53"/>
      <c r="V22" s="53"/>
    </row>
    <row r="23" spans="1:22" ht="15">
      <c r="A23" s="54"/>
      <c r="B23" s="54"/>
      <c r="C23" s="54"/>
      <c r="D23" s="54"/>
      <c r="E23" s="54"/>
      <c r="F23" s="54"/>
      <c r="G23" s="54"/>
      <c r="H23" s="54"/>
      <c r="I23" s="55"/>
      <c r="J23" s="55"/>
      <c r="K23" s="55"/>
      <c r="L23" s="55"/>
      <c r="M23" s="52"/>
      <c r="N23" s="53"/>
      <c r="O23" s="53"/>
      <c r="P23" s="53"/>
      <c r="Q23" s="53"/>
      <c r="R23" s="53"/>
      <c r="S23" s="53"/>
      <c r="T23" s="53"/>
      <c r="U23" s="53"/>
      <c r="V23" s="53"/>
    </row>
    <row r="24" spans="1:22" ht="15">
      <c r="A24" s="54"/>
      <c r="B24" s="54"/>
      <c r="C24" s="54"/>
      <c r="D24" s="54"/>
      <c r="E24" s="54"/>
      <c r="F24" s="54"/>
      <c r="G24" s="54"/>
      <c r="H24" s="54"/>
      <c r="I24" s="55"/>
      <c r="J24" s="55"/>
      <c r="K24" s="55"/>
      <c r="L24" s="55"/>
      <c r="M24" s="52"/>
      <c r="N24" s="53"/>
      <c r="O24" s="53"/>
      <c r="P24" s="53"/>
      <c r="Q24" s="53"/>
      <c r="R24" s="53"/>
      <c r="S24" s="53"/>
      <c r="T24" s="53"/>
      <c r="U24" s="53"/>
      <c r="V24" s="53"/>
    </row>
    <row r="25" spans="1:22" ht="15" hidden="1"/>
    <row r="26" spans="1:22" ht="15" hidden="1"/>
    <row r="27" spans="1:22" ht="15" hidden="1"/>
    <row r="28" spans="1:22" ht="15" hidden="1"/>
    <row r="29" spans="1:22" ht="15" hidden="1"/>
    <row r="30" spans="1:22" ht="15" hidden="1"/>
  </sheetData>
  <sheetProtection algorithmName="SHA-512" hashValue="5RIEfEWSpjn0RTFE2Gf9YvN8T+WIvxd4CdkorCaUN2h1LekcN6WrRbT6pUKn1INDLbBNiuoH/Awz0IXLeNxqow==" saltValue="e+uX4+A/EPI4Ve6jv/L+zw==" spinCount="100000" sheet="1" objects="1" scenarios="1"/>
  <customSheetViews>
    <customSheetView guid="{DC98744D-E3B9-4D80-B691-6C3FB36E9535}" scale="115" showPageBreaks="1" showGridLines="0" hiddenRows="1" hiddenColumns="1" topLeftCell="B1">
      <selection activeCell="O15" sqref="O15"/>
      <pageMargins left="0" right="0" top="0" bottom="0" header="0" footer="0"/>
      <printOptions headings="1"/>
      <pageSetup paperSize="9" orientation="landscape" r:id="rId1"/>
    </customSheetView>
  </customSheetViews>
  <phoneticPr fontId="5" type="noConversion"/>
  <printOptions headings="1"/>
  <pageMargins left="0.511811024" right="0.511811024" top="0.78740157499999996" bottom="0.78740157499999996" header="0.31496062000000002" footer="0.31496062000000002"/>
  <pageSetup paperSize="9" scale="61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EB4E-7BFA-4E34-9552-5AD6791CD040}">
  <dimension ref="A1:W46"/>
  <sheetViews>
    <sheetView showGridLines="0" tabSelected="1" zoomScale="85" zoomScaleNormal="85" workbookViewId="0">
      <selection activeCell="E5" sqref="E5"/>
    </sheetView>
  </sheetViews>
  <sheetFormatPr baseColWidth="10" defaultColWidth="0" defaultRowHeight="15" zeroHeight="1"/>
  <cols>
    <col min="1" max="1" width="2.83203125" style="62" customWidth="1"/>
    <col min="2" max="2" width="10.5" style="62" customWidth="1"/>
    <col min="3" max="3" width="21.83203125" style="62" customWidth="1"/>
    <col min="4" max="4" width="10.1640625" style="62" customWidth="1"/>
    <col min="5" max="5" width="13.5" style="62" customWidth="1"/>
    <col min="6" max="6" width="13.33203125" style="62" customWidth="1"/>
    <col min="7" max="7" width="8.33203125" style="62" customWidth="1"/>
    <col min="8" max="8" width="9.83203125" style="62" customWidth="1"/>
    <col min="9" max="9" width="10.6640625" style="62" customWidth="1"/>
    <col min="10" max="10" width="14.1640625" style="62" customWidth="1"/>
    <col min="11" max="12" width="15.83203125" style="62" customWidth="1"/>
    <col min="13" max="13" width="16.5" style="62" customWidth="1"/>
    <col min="14" max="14" width="15.83203125" style="62" customWidth="1"/>
    <col min="15" max="15" width="16.6640625" style="62" customWidth="1"/>
    <col min="16" max="16" width="4.33203125" style="62" customWidth="1"/>
    <col min="17" max="17" width="3.6640625" style="62" customWidth="1"/>
    <col min="18" max="18" width="17.1640625" style="62" customWidth="1"/>
    <col min="19" max="19" width="17.6640625" style="62" customWidth="1"/>
    <col min="20" max="20" width="12.1640625" style="62" customWidth="1"/>
    <col min="21" max="21" width="15.6640625" style="62" customWidth="1"/>
    <col min="22" max="22" width="8.83203125" style="62" customWidth="1"/>
    <col min="23" max="23" width="15.5" style="62" customWidth="1"/>
    <col min="24" max="16384" width="7.1640625" style="62" hidden="1"/>
  </cols>
  <sheetData>
    <row r="1" spans="1:23" s="91" customFormat="1" ht="5.2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</row>
    <row r="2" spans="1:23" s="91" customFormat="1" ht="14.2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</row>
    <row r="3" spans="1:23" s="91" customFormat="1" ht="14.25" customHeight="1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</row>
    <row r="4" spans="1:23" s="91" customFormat="1" ht="14.25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s="91" customFormat="1" ht="14.25" customHeight="1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1:23" ht="18" hidden="1" customHeight="1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</row>
    <row r="7" spans="1:23" ht="8.25" customHeight="1"/>
    <row r="8" spans="1:23">
      <c r="B8" s="63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20"/>
    </row>
    <row r="9" spans="1:23">
      <c r="B9" s="65"/>
      <c r="C9" s="66"/>
      <c r="D9" s="66"/>
      <c r="E9" s="66"/>
      <c r="F9" s="66"/>
      <c r="G9" s="66"/>
      <c r="H9" s="66"/>
      <c r="I9" s="66"/>
      <c r="J9" s="66"/>
      <c r="K9" s="66"/>
      <c r="L9" s="21"/>
      <c r="M9" s="21"/>
      <c r="N9" s="21"/>
      <c r="O9" s="21"/>
      <c r="P9" s="67"/>
    </row>
    <row r="10" spans="1:23">
      <c r="B10" s="65"/>
      <c r="C10" s="66"/>
      <c r="D10" s="66"/>
      <c r="E10" s="66"/>
      <c r="F10" s="66"/>
      <c r="G10" s="66"/>
      <c r="H10" s="66"/>
      <c r="I10" s="66"/>
      <c r="J10" s="66"/>
      <c r="K10" s="66"/>
      <c r="L10" s="21"/>
      <c r="M10" s="21"/>
      <c r="N10" s="21"/>
      <c r="O10" s="21"/>
      <c r="P10" s="67"/>
    </row>
    <row r="11" spans="1:23" ht="24" customHeight="1">
      <c r="B11" s="65"/>
      <c r="C11" s="22"/>
      <c r="D11" s="22"/>
      <c r="E11" s="22"/>
      <c r="F11" s="22"/>
      <c r="G11" s="66"/>
      <c r="H11" s="66"/>
      <c r="I11" s="66"/>
      <c r="J11" s="66"/>
      <c r="K11" s="124" t="s">
        <v>13</v>
      </c>
      <c r="L11" s="125"/>
      <c r="M11" s="66"/>
      <c r="N11" s="124" t="s">
        <v>14</v>
      </c>
      <c r="O11" s="125"/>
      <c r="P11" s="67"/>
    </row>
    <row r="12" spans="1:23" ht="40.5" customHeight="1">
      <c r="B12" s="65"/>
      <c r="C12" s="23" t="s">
        <v>15</v>
      </c>
      <c r="D12" s="24" t="s">
        <v>16</v>
      </c>
      <c r="E12" s="25" t="s">
        <v>17</v>
      </c>
      <c r="F12" s="25" t="s">
        <v>18</v>
      </c>
      <c r="G12" s="25" t="s">
        <v>19</v>
      </c>
      <c r="H12" s="25" t="s">
        <v>20</v>
      </c>
      <c r="I12" s="25" t="s">
        <v>21</v>
      </c>
      <c r="J12" s="51" t="s">
        <v>22</v>
      </c>
      <c r="K12" s="40" t="s">
        <v>23</v>
      </c>
      <c r="L12" s="41" t="s">
        <v>24</v>
      </c>
      <c r="M12" s="26" t="s">
        <v>25</v>
      </c>
      <c r="N12" s="92" t="s">
        <v>23</v>
      </c>
      <c r="O12" s="41" t="s">
        <v>24</v>
      </c>
      <c r="P12" s="67"/>
    </row>
    <row r="13" spans="1:23">
      <c r="B13" s="37" t="str">
        <f>_xlfn.CONCAT(C13," ",D13)</f>
        <v>CRI IPCA+</v>
      </c>
      <c r="C13" s="93" t="s">
        <v>26</v>
      </c>
      <c r="D13" s="93" t="s">
        <v>27</v>
      </c>
      <c r="E13" s="94">
        <v>9.9000000000000005E-2</v>
      </c>
      <c r="F13" s="95">
        <v>49841</v>
      </c>
      <c r="G13" s="27">
        <f ca="1">F13-TODAY()</f>
        <v>3868</v>
      </c>
      <c r="H13" s="28">
        <f ca="1">IF(D13="IPCA+",E13+Dados!G28,E13)</f>
        <v>0.13953992436364773</v>
      </c>
      <c r="I13" s="29">
        <f ca="1">IF(D13=Dados!$C$14,Comparador!H13*Dados!G14,Comparador!H13)</f>
        <v>0.13953992436364773</v>
      </c>
      <c r="J13" s="30">
        <f ca="1">IF(C13="Poupança",0,IF(OR(C13=Dados!$B$14,C13=Dados!$B$19,C13=Dados!$B$20,C13=Dados!$B$21,C13=Dados!$B$22),IF(F13-TODAY()&gt;=721,D$32,IF(F13-TODAY()&gt;=361,D$31,IF(F13-TODAY()&gt;=181,D$30,D$29))),0))</f>
        <v>0</v>
      </c>
      <c r="K13" s="42">
        <f ca="1">I13*(1-J13)</f>
        <v>0.13953992436364773</v>
      </c>
      <c r="L13" s="43">
        <f ca="1">K13/Dados!$G14</f>
        <v>1.2850498842345852</v>
      </c>
      <c r="M13" s="30">
        <f>IF(C13="Poupança",0,IF(OR(C13=Dados!$B$14,C13=Dados!$B$19,C13=Dados!$B$20,C13=Dados!$B$21,C13=Dados!$B$22),$D$35,$D$36))</f>
        <v>0.05</v>
      </c>
      <c r="N13" s="45">
        <f ca="1">I13*(1-M13)</f>
        <v>0.13256292814546533</v>
      </c>
      <c r="O13" s="43">
        <f ca="1">N13/Dados!$G14</f>
        <v>1.2207973900228559</v>
      </c>
      <c r="P13" s="67"/>
    </row>
    <row r="14" spans="1:23">
      <c r="B14" s="37"/>
      <c r="C14" s="68"/>
      <c r="D14" s="66"/>
      <c r="E14" s="69"/>
      <c r="F14" s="69"/>
      <c r="G14" s="19"/>
      <c r="H14" s="70"/>
      <c r="I14" s="71"/>
      <c r="J14" s="72"/>
      <c r="K14" s="44"/>
      <c r="L14" s="43"/>
      <c r="M14" s="72"/>
      <c r="N14" s="45"/>
      <c r="O14" s="43"/>
      <c r="P14" s="67"/>
    </row>
    <row r="15" spans="1:23">
      <c r="B15" s="37" t="str">
        <f>_xlfn.CONCAT(C15," ",D15)</f>
        <v>CRA IPCA+</v>
      </c>
      <c r="C15" s="93" t="s">
        <v>28</v>
      </c>
      <c r="D15" s="93" t="s">
        <v>27</v>
      </c>
      <c r="E15" s="94">
        <v>7.3200000000000001E-2</v>
      </c>
      <c r="F15" s="95">
        <v>56751</v>
      </c>
      <c r="G15" s="27">
        <f ca="1">F15-TODAY()</f>
        <v>10778</v>
      </c>
      <c r="H15" s="28">
        <f ca="1">IF(D15="IPCA+",E15+Dados!G30,E15)</f>
        <v>0.11339373538485938</v>
      </c>
      <c r="I15" s="29">
        <f ca="1">IF(D15=Dados!$C$14,Comparador!H15*Dados!G16,Comparador!H15)</f>
        <v>0.11339373538485938</v>
      </c>
      <c r="J15" s="30">
        <f ca="1">IF(C15="Poupança",0,IF(OR(C15=Dados!$B$14,C15=Dados!$B$19,C15=Dados!$B$20,C15=Dados!$B$21,C15=Dados!$B$22),IF(F15-TODAY()&gt;=721,D$32,IF(F15-TODAY()&gt;=361,D$31,IF(F15-TODAY()&gt;=181,D$30,D$29))),0))</f>
        <v>0</v>
      </c>
      <c r="K15" s="42">
        <f ca="1">I15*(1-J15)</f>
        <v>0.11339373538485938</v>
      </c>
      <c r="L15" s="43">
        <f ca="1">K15/Dados!$G16</f>
        <v>1.0668734562897106</v>
      </c>
      <c r="M15" s="30">
        <f>IF(C15="Poupança",0,IF(OR(C15=Dados!$B$14,C15=Dados!$B$19,C15=Dados!$B$20,C15=Dados!$B$21,C15=Dados!$B$22),$D$35,$D$36))</f>
        <v>0.05</v>
      </c>
      <c r="N15" s="45">
        <f ca="1">I15*(1-M15)</f>
        <v>0.10772404861561641</v>
      </c>
      <c r="O15" s="43">
        <f ca="1">N15/Dados!$G16</f>
        <v>1.013529783475225</v>
      </c>
      <c r="P15" s="67"/>
    </row>
    <row r="16" spans="1:23">
      <c r="B16" s="37"/>
      <c r="C16" s="66"/>
      <c r="D16" s="66"/>
      <c r="E16" s="69"/>
      <c r="F16" s="69"/>
      <c r="G16" s="73"/>
      <c r="H16" s="70"/>
      <c r="I16" s="71"/>
      <c r="J16" s="74"/>
      <c r="K16" s="45"/>
      <c r="L16" s="43"/>
      <c r="M16" s="74"/>
      <c r="N16" s="45"/>
      <c r="O16" s="43"/>
      <c r="P16" s="75"/>
    </row>
    <row r="17" spans="2:23">
      <c r="B17" s="37" t="str">
        <f>_xlfn.CONCAT(C17," ",D17)</f>
        <v>Debenture Incentivada IPCA+</v>
      </c>
      <c r="C17" s="93" t="s">
        <v>29</v>
      </c>
      <c r="D17" s="93" t="s">
        <v>27</v>
      </c>
      <c r="E17" s="94">
        <v>6.9500000000000006E-2</v>
      </c>
      <c r="F17" s="95">
        <v>47253</v>
      </c>
      <c r="G17" s="27">
        <f ca="1">F17-TODAY()</f>
        <v>1280</v>
      </c>
      <c r="H17" s="28">
        <f ca="1">IF(D17="IPCA+",E17+Dados!G32,E17)</f>
        <v>0.11113244040235803</v>
      </c>
      <c r="I17" s="29">
        <f ca="1">IF(D17=Dados!$C$14,Comparador!H17*Dados!G18,Comparador!H17)</f>
        <v>0.11113244040235803</v>
      </c>
      <c r="J17" s="30">
        <f ca="1">IF(C17="Poupança",0,IF(OR(C17=Dados!$B$14,C17=Dados!$B$19,C17=Dados!$B$20,C17=Dados!$B$21,C17=Dados!$B$22),IF(F17-TODAY()&gt;=721,D$32,IF(F17-TODAY()&gt;=361,D$31,IF(F17-TODAY()&gt;=181,D$30,D$29))),0))</f>
        <v>0</v>
      </c>
      <c r="K17" s="42">
        <f ca="1">I17*(1-J17)</f>
        <v>0.11113244040235803</v>
      </c>
      <c r="L17" s="43">
        <f ca="1">K17/Dados!$G18</f>
        <v>0.95906696483691511</v>
      </c>
      <c r="M17" s="30">
        <f>IF(C17="Poupança",0,IF(OR(C17=Dados!$B$14,C17=Dados!$B$19,C17=Dados!$B$20,C17=Dados!$B$21,C17=Dados!$B$22),$D$35,$D$36))</f>
        <v>0.05</v>
      </c>
      <c r="N17" s="45">
        <f ca="1">I17*(1-M17)</f>
        <v>0.10557581838224013</v>
      </c>
      <c r="O17" s="43">
        <f ca="1">N17/Dados!$G18</f>
        <v>0.9111136165950694</v>
      </c>
      <c r="P17" s="31"/>
    </row>
    <row r="18" spans="2:23">
      <c r="B18" s="37"/>
      <c r="C18" s="66"/>
      <c r="D18" s="66"/>
      <c r="E18" s="69"/>
      <c r="F18" s="69"/>
      <c r="G18" s="19"/>
      <c r="H18" s="70"/>
      <c r="I18" s="71"/>
      <c r="J18" s="72"/>
      <c r="K18" s="44"/>
      <c r="L18" s="43"/>
      <c r="M18" s="72"/>
      <c r="N18" s="45"/>
      <c r="O18" s="43"/>
      <c r="P18" s="75"/>
    </row>
    <row r="19" spans="2:23">
      <c r="B19" s="37" t="str">
        <f>_xlfn.CONCAT(C19," ",D19)</f>
        <v>LTN Pré-fixado</v>
      </c>
      <c r="C19" s="93" t="s">
        <v>30</v>
      </c>
      <c r="D19" s="93" t="s">
        <v>31</v>
      </c>
      <c r="E19" s="94">
        <v>0.13589999999999999</v>
      </c>
      <c r="F19" s="95">
        <v>47849</v>
      </c>
      <c r="G19" s="27">
        <f ca="1">F19-TODAY()</f>
        <v>1876</v>
      </c>
      <c r="H19" s="28">
        <f>IF(D19="IPCA+",E19+Dados!G34,E19)</f>
        <v>0.13589999999999999</v>
      </c>
      <c r="I19" s="29">
        <f>IF(D19=Dados!$C$14,Comparador!H19*Dados!G20,Comparador!H19)</f>
        <v>0.13589999999999999</v>
      </c>
      <c r="J19" s="30">
        <f ca="1">IF(C19="Poupança",0,IF(OR(C19=Dados!$B$14,C19=Dados!$B$19,C19=Dados!$B$20,C19=Dados!$B$21,C19=Dados!$B$22),IF(F19-TODAY()&gt;=721,D$32,IF(F19-TODAY()&gt;=361,D$31,IF(F19-TODAY()&gt;=181,D$30,D$29))),0))</f>
        <v>0.15</v>
      </c>
      <c r="K19" s="42">
        <f ca="1">I19*(1-J19)</f>
        <v>0.11551499999999999</v>
      </c>
      <c r="L19" s="43">
        <f ca="1">K19/Dados!$G20</f>
        <v>1.0276322747884516</v>
      </c>
      <c r="M19" s="30">
        <f>IF(C19="Poupança",0,IF(OR(C19=Dados!$B$14,C19=Dados!$B$19,C19=Dados!$B$20,C19=Dados!$B$21,C19=Dados!$B$22),$D$35,$D$36))</f>
        <v>0.17499999999999999</v>
      </c>
      <c r="N19" s="45">
        <f>I19*(1-M19)</f>
        <v>0.11211749999999999</v>
      </c>
      <c r="O19" s="43">
        <f ca="1">N19/Dados!$G20</f>
        <v>0.99740779611820296</v>
      </c>
      <c r="P19" s="31"/>
    </row>
    <row r="20" spans="2:23">
      <c r="B20" s="37"/>
      <c r="C20" s="21"/>
      <c r="D20" s="21"/>
      <c r="E20" s="32"/>
      <c r="F20" s="69"/>
      <c r="G20" s="5"/>
      <c r="H20" s="33"/>
      <c r="I20" s="18"/>
      <c r="J20" s="18"/>
      <c r="K20" s="44"/>
      <c r="L20" s="46"/>
      <c r="M20" s="18"/>
      <c r="N20" s="45"/>
      <c r="O20" s="46"/>
      <c r="P20" s="75"/>
    </row>
    <row r="21" spans="2:23">
      <c r="B21" s="37" t="str">
        <f>_xlfn.CONCAT(C21," ",D21)</f>
        <v>LFT Pós-fixado</v>
      </c>
      <c r="C21" s="93" t="s">
        <v>32</v>
      </c>
      <c r="D21" s="93" t="s">
        <v>33</v>
      </c>
      <c r="E21" s="94">
        <v>1</v>
      </c>
      <c r="F21" s="95">
        <v>49324</v>
      </c>
      <c r="G21" s="27">
        <f ca="1">F21-TODAY()</f>
        <v>3351</v>
      </c>
      <c r="H21" s="28">
        <f>IF(D21="IPCA+",E21+Dados!G36,E21)</f>
        <v>1</v>
      </c>
      <c r="I21" s="29">
        <f ca="1">IF(D21=Dados!$C$14,Comparador!H21*Dados!G22,Comparador!H21)</f>
        <v>0.10914163753206485</v>
      </c>
      <c r="J21" s="30">
        <f ca="1">IF(C21="Poupança",0,IF(OR(C21=Dados!$B$14,C21=Dados!$B$19,C21=Dados!$B$20,C21=Dados!$B$21,C21=Dados!$B$22),IF(F21-TODAY()&gt;=721,D$32,IF(F21-TODAY()&gt;=361,D$31,IF(F21-TODAY()&gt;=181,D$30,D$29))),0))</f>
        <v>0.15</v>
      </c>
      <c r="K21" s="42">
        <f ca="1">I21*(1-J21)</f>
        <v>9.2770391902255125E-2</v>
      </c>
      <c r="L21" s="43">
        <f ca="1">K21/Dados!$G22</f>
        <v>0.85</v>
      </c>
      <c r="M21" s="30">
        <f>IF(C21="Poupança",0,IF(OR(C21=Dados!$B$14,C21=Dados!$B$19,C21=Dados!$B$20,C21=Dados!$B$21,C21=Dados!$B$22),$D$35,$D$36))</f>
        <v>0.17499999999999999</v>
      </c>
      <c r="N21" s="45">
        <f ca="1">I21*(1-M21)</f>
        <v>9.0041850963953493E-2</v>
      </c>
      <c r="O21" s="43">
        <f ca="1">N21/Dados!$G22</f>
        <v>0.82499999999999996</v>
      </c>
      <c r="P21" s="31"/>
    </row>
    <row r="22" spans="2:23">
      <c r="B22" s="37"/>
      <c r="C22" s="21"/>
      <c r="D22" s="21"/>
      <c r="E22" s="32"/>
      <c r="F22" s="69"/>
      <c r="G22" s="5"/>
      <c r="H22" s="33"/>
      <c r="I22" s="18"/>
      <c r="J22" s="18"/>
      <c r="K22" s="44"/>
      <c r="L22" s="46"/>
      <c r="M22" s="18"/>
      <c r="N22" s="45"/>
      <c r="O22" s="46"/>
      <c r="P22" s="75"/>
    </row>
    <row r="23" spans="2:23">
      <c r="B23" s="37" t="str">
        <f>_xlfn.CONCAT(C23," ",D23)</f>
        <v xml:space="preserve">Poupança </v>
      </c>
      <c r="C23" s="5" t="s">
        <v>34</v>
      </c>
      <c r="D23" s="6"/>
      <c r="E23" s="70">
        <f>(1.005+0.0007)^12-1</f>
        <v>7.0585609779292957E-2</v>
      </c>
      <c r="F23" s="76"/>
      <c r="G23" s="39">
        <f ca="1">F23-TODAY()</f>
        <v>-45973</v>
      </c>
      <c r="H23" s="34">
        <f>IF(D23="IPCA+",E23+Dados!G38,E23)</f>
        <v>7.0585609779292957E-2</v>
      </c>
      <c r="I23" s="35">
        <f>IF(D23=Dados!$C$14,Comparador!H23*Dados!G24,Comparador!H23)</f>
        <v>7.0585609779292957E-2</v>
      </c>
      <c r="J23" s="30">
        <f ca="1">IF(C23="Poupança",0,IF(OR(C23=Dados!$B$14,C23=Dados!$B$19,C23=Dados!$B$20,C23=Dados!$B$21),IF(F23-TODAY()&gt;=721,D$32,IF(F23-TODAY()&gt;=361,D$31,IF(F23-TODAY()&gt;=181,D$30,D$29))),0))</f>
        <v>0</v>
      </c>
      <c r="K23" s="47">
        <f ca="1">I23*(1-J23)</f>
        <v>7.0585609779292957E-2</v>
      </c>
      <c r="L23" s="48">
        <f ca="1">K23/Dados!$G24</f>
        <v>0.47057073192778476</v>
      </c>
      <c r="M23" s="30">
        <f>IF(C23="Poupança",0,IF(OR(C23=Dados!$B$14,C23=Dados!$B$19,C23=Dados!$B$20,C23=Dados!$B$21,C23=Dados!$B$22),$D$35,0))</f>
        <v>0</v>
      </c>
      <c r="N23" s="120">
        <f>I23*(1-M23)</f>
        <v>7.0585609779292957E-2</v>
      </c>
      <c r="O23" s="48">
        <f ca="1">N23/Dados!$G24</f>
        <v>0.47057073192778476</v>
      </c>
      <c r="P23" s="31"/>
    </row>
    <row r="24" spans="2:23">
      <c r="B24" s="38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77"/>
    </row>
    <row r="25" spans="2:23">
      <c r="B25" s="50" t="s">
        <v>35</v>
      </c>
    </row>
    <row r="26" spans="2:23"/>
    <row r="27" spans="2:23">
      <c r="B27" s="1" t="s">
        <v>36</v>
      </c>
      <c r="J27" s="1" t="s">
        <v>37</v>
      </c>
      <c r="Q27" s="1"/>
    </row>
    <row r="28" spans="2:23">
      <c r="B28" s="102" t="s">
        <v>38</v>
      </c>
      <c r="C28" s="103"/>
      <c r="D28" s="104" t="s">
        <v>39</v>
      </c>
      <c r="J28" s="99"/>
      <c r="K28" s="100">
        <v>2025</v>
      </c>
      <c r="L28" s="100">
        <v>2026</v>
      </c>
      <c r="M28" s="101">
        <v>2027</v>
      </c>
    </row>
    <row r="29" spans="2:23">
      <c r="B29" s="78" t="s">
        <v>40</v>
      </c>
      <c r="C29"/>
      <c r="D29" s="79">
        <v>0.22500000000000001</v>
      </c>
      <c r="J29" s="80" t="s">
        <v>41</v>
      </c>
      <c r="K29" s="94">
        <v>0.15</v>
      </c>
      <c r="L29" s="94">
        <v>0.13750000000000001</v>
      </c>
      <c r="M29" s="96">
        <v>0.105</v>
      </c>
    </row>
    <row r="30" spans="2:23">
      <c r="B30" s="78" t="s">
        <v>42</v>
      </c>
      <c r="C30"/>
      <c r="D30" s="79">
        <v>0.2</v>
      </c>
      <c r="J30" s="81" t="s">
        <v>43</v>
      </c>
      <c r="K30" s="97">
        <v>5.0700000000000002E-2</v>
      </c>
      <c r="L30" s="97">
        <v>4.4299999999999999E-2</v>
      </c>
      <c r="M30" s="98">
        <v>0.04</v>
      </c>
    </row>
    <row r="31" spans="2:23">
      <c r="B31" s="78" t="s">
        <v>44</v>
      </c>
      <c r="C31"/>
      <c r="D31" s="79">
        <v>0.17499999999999999</v>
      </c>
      <c r="K31" s="2"/>
      <c r="V31" s="82"/>
      <c r="W31" s="82"/>
    </row>
    <row r="32" spans="2:23">
      <c r="B32" s="83" t="s">
        <v>45</v>
      </c>
      <c r="C32" s="84"/>
      <c r="D32" s="85">
        <v>0.15</v>
      </c>
      <c r="J32" s="1" t="s">
        <v>46</v>
      </c>
    </row>
    <row r="33" spans="2:19">
      <c r="J33" s="99"/>
      <c r="K33" s="100">
        <v>2025</v>
      </c>
      <c r="L33" s="100">
        <v>2026</v>
      </c>
      <c r="M33" s="101">
        <v>2027</v>
      </c>
    </row>
    <row r="34" spans="2:19">
      <c r="B34" s="1" t="s">
        <v>47</v>
      </c>
      <c r="J34" s="80" t="s">
        <v>48</v>
      </c>
      <c r="K34" s="86">
        <v>0.15</v>
      </c>
      <c r="L34" s="86">
        <f>(15%+12.5%)/2</f>
        <v>0.13750000000000001</v>
      </c>
      <c r="M34" s="123" t="s">
        <v>49</v>
      </c>
    </row>
    <row r="35" spans="2:19">
      <c r="B35" s="105" t="s">
        <v>50</v>
      </c>
      <c r="C35" s="106"/>
      <c r="D35" s="107">
        <v>0.17499999999999999</v>
      </c>
      <c r="J35" s="81" t="s">
        <v>51</v>
      </c>
      <c r="K35" s="87">
        <v>5.0700000000000002E-2</v>
      </c>
      <c r="L35" s="87">
        <v>4.4299999999999999E-2</v>
      </c>
      <c r="M35" s="88">
        <v>0.04</v>
      </c>
    </row>
    <row r="36" spans="2:19">
      <c r="B36" s="108" t="s">
        <v>52</v>
      </c>
      <c r="C36" s="109"/>
      <c r="D36" s="110">
        <v>0.05</v>
      </c>
      <c r="K36" s="89"/>
    </row>
    <row r="37" spans="2:19">
      <c r="B37" s="62" t="s">
        <v>53</v>
      </c>
    </row>
    <row r="38" spans="2:19">
      <c r="B38" s="62" t="s">
        <v>54</v>
      </c>
      <c r="H38" s="3"/>
    </row>
    <row r="39" spans="2:19" ht="7.5" customHeight="1">
      <c r="R39" s="82"/>
      <c r="S39" s="82"/>
    </row>
    <row r="40" spans="2:19" s="66" customFormat="1">
      <c r="B40" s="49" t="s">
        <v>55</v>
      </c>
      <c r="R40" s="82"/>
      <c r="S40" s="82"/>
    </row>
    <row r="41" spans="2:19">
      <c r="B41" s="111" t="s">
        <v>56</v>
      </c>
      <c r="C41" s="112"/>
      <c r="D41" s="112"/>
      <c r="E41" s="112"/>
      <c r="F41" s="112"/>
      <c r="G41" s="112"/>
      <c r="H41" s="112"/>
      <c r="I41" s="112"/>
      <c r="J41" s="112"/>
      <c r="K41" s="112"/>
      <c r="L41" s="113"/>
      <c r="M41" s="66"/>
      <c r="R41" s="82"/>
      <c r="S41" s="82"/>
    </row>
    <row r="42" spans="2:19">
      <c r="B42" s="114" t="s">
        <v>57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6"/>
      <c r="M42" s="66"/>
      <c r="R42" s="82"/>
      <c r="S42" s="82"/>
    </row>
    <row r="43" spans="2:19">
      <c r="B43" s="114" t="s">
        <v>58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6"/>
      <c r="M43" s="66"/>
      <c r="R43" s="82"/>
      <c r="S43" s="82"/>
    </row>
    <row r="44" spans="2:19">
      <c r="B44" s="114" t="s">
        <v>59</v>
      </c>
      <c r="C44" s="115"/>
      <c r="D44" s="115"/>
      <c r="E44" s="115"/>
      <c r="F44" s="115"/>
      <c r="G44" s="115"/>
      <c r="H44" s="115"/>
      <c r="I44" s="115"/>
      <c r="J44" s="115"/>
      <c r="K44" s="115"/>
      <c r="L44" s="116"/>
      <c r="M44" s="66"/>
      <c r="R44" s="82"/>
      <c r="S44" s="82"/>
    </row>
    <row r="45" spans="2:19">
      <c r="B45" s="117" t="s">
        <v>60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9"/>
      <c r="M45" s="66"/>
      <c r="R45" s="82"/>
      <c r="S45" s="82"/>
    </row>
    <row r="46" spans="2:19"/>
  </sheetData>
  <sheetProtection algorithmName="SHA-512" hashValue="TlBJVIfuGOrjkiCG3KZUhnkPc7SZPXfnsVaZMHgnJVcUGLRfY/uR3jfmHyDeP+AABZPAGNa0Y/eZRDBC7IWNmA==" saltValue="lqQg7dtbCb3mHdPlu2qfQg==" spinCount="100000" sheet="1" objects="1" scenarios="1"/>
  <protectedRanges>
    <protectedRange sqref="K29:M30" name="Premissas"/>
    <protectedRange sqref="C21:E21" name="Alternativa 5"/>
    <protectedRange sqref="C19:E19" name="Alternativa 4"/>
    <protectedRange sqref="C17:E17" name="Alternativa 3"/>
    <protectedRange sqref="C15:E15" name="Alternativa 2"/>
    <protectedRange sqref="C13:F13" name="Alternativa 1"/>
  </protectedRanges>
  <customSheetViews>
    <customSheetView guid="{DC98744D-E3B9-4D80-B691-6C3FB36E9535}" scale="85" showPageBreaks="1" showGridLines="0">
      <selection activeCell="A2" sqref="A2:U34"/>
      <pageMargins left="0" right="0" top="0" bottom="0" header="0" footer="0"/>
      <printOptions headings="1"/>
      <pageSetup paperSize="9" orientation="landscape" r:id="rId1"/>
    </customSheetView>
  </customSheetViews>
  <mergeCells count="2">
    <mergeCell ref="K11:L11"/>
    <mergeCell ref="N11:O11"/>
  </mergeCells>
  <hyperlinks>
    <hyperlink ref="J32" r:id="rId2" xr:uid="{E670287C-1D0F-4568-8DB6-97352D4A7BE8}"/>
  </hyperlinks>
  <pageMargins left="0.51181102362204722" right="0.51181102362204722" top="0.78740157480314965" bottom="0.78740157480314965" header="0.31496062992125984" footer="0.31496062992125984"/>
  <pageSetup paperSize="9" scale="50" orientation="landscape" r:id="rId3"/>
  <ignoredErrors>
    <ignoredError sqref="B13:B23" unlockedFormula="1"/>
  </ignoredErrors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9607D9-32A5-4F97-84E4-8A2CECEC881F}">
          <x14:formula1>
            <xm:f>Dados!$C$14:$C$16</xm:f>
          </x14:formula1>
          <xm:sqref>D13 D21 D19 D17 D15</xm:sqref>
        </x14:dataValidation>
        <x14:dataValidation type="list" allowBlank="1" showInputMessage="1" showErrorMessage="1" xr:uid="{13658294-ABE4-4247-8589-5ADA5E00421B}">
          <x14:formula1>
            <xm:f>Dados!$B$14:$B$23</xm:f>
          </x14:formula1>
          <xm:sqref>C21 C13 C15 C17 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4482-0F1F-450B-AD45-593892413A6B}">
  <dimension ref="B1:U39"/>
  <sheetViews>
    <sheetView workbookViewId="0">
      <selection activeCell="G10" sqref="G10"/>
    </sheetView>
  </sheetViews>
  <sheetFormatPr baseColWidth="10" defaultColWidth="8.83203125" defaultRowHeight="15"/>
  <cols>
    <col min="1" max="1" width="8.83203125" style="6"/>
    <col min="2" max="2" width="13.83203125" style="6" customWidth="1"/>
    <col min="3" max="3" width="18.5" style="6" customWidth="1"/>
    <col min="4" max="4" width="10.83203125" style="6" customWidth="1"/>
    <col min="5" max="6" width="8.83203125" style="6"/>
    <col min="7" max="8" width="13.33203125" style="6" customWidth="1"/>
    <col min="9" max="9" width="12.83203125" style="6" customWidth="1"/>
    <col min="10" max="13" width="10.83203125" style="6" customWidth="1"/>
    <col min="14" max="14" width="10.6640625" style="6" customWidth="1"/>
    <col min="15" max="17" width="10.83203125" style="6" customWidth="1"/>
    <col min="18" max="16384" width="8.83203125" style="6"/>
  </cols>
  <sheetData>
    <row r="1" spans="2:21" s="54" customFormat="1"/>
    <row r="2" spans="2:21" s="54" customFormat="1"/>
    <row r="3" spans="2:21" s="54" customFormat="1"/>
    <row r="4" spans="2:21" s="54" customFormat="1"/>
    <row r="5" spans="2:21" s="54" customFormat="1"/>
    <row r="6" spans="2:21" s="54" customFormat="1"/>
    <row r="8" spans="2:21">
      <c r="B8" s="19" t="s">
        <v>61</v>
      </c>
      <c r="C8" s="121">
        <v>45874</v>
      </c>
    </row>
    <row r="9" spans="2:21">
      <c r="B9" s="19" t="s">
        <v>62</v>
      </c>
      <c r="C9" s="19" t="s">
        <v>63</v>
      </c>
      <c r="G9" s="14"/>
      <c r="H9" s="6" t="s">
        <v>64</v>
      </c>
    </row>
    <row r="10" spans="2:21">
      <c r="G10" s="122"/>
      <c r="H10" s="6" t="s">
        <v>65</v>
      </c>
    </row>
    <row r="11" spans="2:21">
      <c r="I11" s="126" t="s">
        <v>66</v>
      </c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</row>
    <row r="12" spans="2:21">
      <c r="B12" s="126" t="s">
        <v>67</v>
      </c>
      <c r="C12" s="126"/>
      <c r="D12" s="126"/>
      <c r="E12" s="126"/>
      <c r="J12" s="6" t="s">
        <v>68</v>
      </c>
      <c r="K12" s="18">
        <f>YEAR(K13)</f>
        <v>2025</v>
      </c>
      <c r="L12" s="18">
        <f t="shared" ref="L12:M12" si="0">YEAR(L13)</f>
        <v>2026</v>
      </c>
      <c r="M12" s="18">
        <f t="shared" si="0"/>
        <v>2027</v>
      </c>
      <c r="O12" s="18">
        <f>YEAR(O13)</f>
        <v>2025</v>
      </c>
      <c r="P12" s="18">
        <f t="shared" ref="P12" si="1">YEAR(P13)</f>
        <v>2026</v>
      </c>
      <c r="Q12" s="18">
        <f t="shared" ref="Q12" si="2">YEAR(Q13)</f>
        <v>2027</v>
      </c>
    </row>
    <row r="13" spans="2:21" ht="16">
      <c r="B13" s="5" t="s">
        <v>69</v>
      </c>
      <c r="C13" s="5" t="s">
        <v>70</v>
      </c>
      <c r="D13" s="5" t="s">
        <v>71</v>
      </c>
      <c r="G13" s="10" t="s">
        <v>41</v>
      </c>
      <c r="I13" s="5" t="s">
        <v>72</v>
      </c>
      <c r="J13" s="15">
        <f ca="1">+TODAY()</f>
        <v>45973</v>
      </c>
      <c r="K13" s="15">
        <v>46022</v>
      </c>
      <c r="L13" s="15">
        <v>46387</v>
      </c>
      <c r="M13" s="15">
        <v>46752</v>
      </c>
      <c r="O13" s="15">
        <f>K13</f>
        <v>46022</v>
      </c>
      <c r="P13" s="15">
        <f>L13</f>
        <v>46387</v>
      </c>
      <c r="Q13" s="15">
        <f>M13</f>
        <v>46752</v>
      </c>
    </row>
    <row r="14" spans="2:21">
      <c r="B14" s="6" t="s">
        <v>73</v>
      </c>
      <c r="C14" s="6" t="s">
        <v>33</v>
      </c>
      <c r="D14" s="6" t="s">
        <v>40</v>
      </c>
      <c r="G14" s="11">
        <f ca="1">U14</f>
        <v>0.10858716542880509</v>
      </c>
      <c r="I14" s="16">
        <f>Comparador!F13</f>
        <v>49841</v>
      </c>
      <c r="J14" s="6">
        <f ca="1">I14-$J$13</f>
        <v>3868</v>
      </c>
      <c r="K14" s="6">
        <f ca="1">IF(I14&lt;$K$13,J14,$K$13-$J$13)</f>
        <v>49</v>
      </c>
      <c r="L14" s="6">
        <f>IF(I14&lt;$L$13,IF(I14-$K$13&lt;0,0,I14-$K$13),IF(I14&lt;$L$13,$L$13-I14,365))</f>
        <v>365</v>
      </c>
      <c r="M14" s="6">
        <f t="shared" ref="M14" si="3">IF(I14&lt;$M$13,IF(I14-$L$13&lt;0,0,I14-$L$13),IF(I14&lt;$M$13,$M$13-I14,365-($M$13-I14)))</f>
        <v>3454</v>
      </c>
      <c r="O14" s="17">
        <f ca="1">(1+Comparador!$K$29)^(Dados!K14/365)</f>
        <v>1.0189396850214347</v>
      </c>
      <c r="P14" s="17">
        <f>(1+Comparador!$L$29)^(Dados!L14/365)</f>
        <v>1.1375</v>
      </c>
      <c r="Q14" s="17">
        <f>(1+Comparador!$M$29)^(Dados!M14/365)</f>
        <v>2.5723960315208529</v>
      </c>
      <c r="S14" s="8">
        <f ca="1">O14*P14*Q14-1</f>
        <v>1.9815199073981304</v>
      </c>
      <c r="U14" s="8">
        <f ca="1">(1+S14)^(365/J14)-1</f>
        <v>0.10858716542880509</v>
      </c>
    </row>
    <row r="15" spans="2:21">
      <c r="B15" s="6" t="s">
        <v>26</v>
      </c>
      <c r="C15" s="6" t="s">
        <v>31</v>
      </c>
      <c r="D15" s="6" t="s">
        <v>42</v>
      </c>
      <c r="G15" s="11"/>
      <c r="I15" s="4"/>
      <c r="O15" s="17"/>
      <c r="P15" s="17"/>
      <c r="Q15" s="17"/>
    </row>
    <row r="16" spans="2:21">
      <c r="B16" s="6" t="s">
        <v>28</v>
      </c>
      <c r="C16" s="6" t="s">
        <v>27</v>
      </c>
      <c r="D16" s="6" t="s">
        <v>44</v>
      </c>
      <c r="G16" s="11">
        <f t="shared" ref="G16" ca="1" si="4">U16</f>
        <v>0.10628602175483048</v>
      </c>
      <c r="I16" s="16">
        <f>Comparador!F15</f>
        <v>56751</v>
      </c>
      <c r="J16" s="6">
        <f t="shared" ref="J16" ca="1" si="5">I16-$J$13</f>
        <v>10778</v>
      </c>
      <c r="K16" s="6">
        <f t="shared" ref="K16" ca="1" si="6">IF(I16&lt;$K$13,J16,$K$13-$J$13)</f>
        <v>49</v>
      </c>
      <c r="L16" s="6">
        <f t="shared" ref="L16" si="7">IF(I16&lt;$L$13,IF(I16-$K$13&lt;0,0,I16-$K$13),IF(I16&lt;$L$13,$L$13-I16,365))</f>
        <v>365</v>
      </c>
      <c r="M16" s="6">
        <f t="shared" ref="M16" si="8">IF(I16&lt;$M$13,IF(I16-$L$13&lt;0,0,I16-$L$13),IF(I16&lt;$M$13,$M$13-I16,365-($M$13-I16)))</f>
        <v>10364</v>
      </c>
      <c r="O16" s="17">
        <f ca="1">(1+Comparador!$K$29)^(Dados!K16/365)</f>
        <v>1.0189396850214347</v>
      </c>
      <c r="P16" s="17">
        <f>(1+Comparador!$L$29)^(Dados!L16/365)</f>
        <v>1.1375</v>
      </c>
      <c r="Q16" s="17">
        <f>(1+Comparador!$M$29)^(Dados!M16/365)</f>
        <v>17.031429230163521</v>
      </c>
      <c r="S16" s="8">
        <f t="shared" ref="S16" ca="1" si="9">O16*P16*Q16-1</f>
        <v>18.740174016344231</v>
      </c>
      <c r="U16" s="8">
        <f t="shared" ref="U16" ca="1" si="10">(1+S16)^(365/J16)-1</f>
        <v>0.10628602175483048</v>
      </c>
    </row>
    <row r="17" spans="2:21">
      <c r="B17" s="6" t="s">
        <v>74</v>
      </c>
      <c r="D17" s="6" t="s">
        <v>45</v>
      </c>
      <c r="G17" s="11"/>
      <c r="I17" s="4"/>
      <c r="O17" s="17"/>
      <c r="P17" s="17"/>
      <c r="Q17" s="17"/>
    </row>
    <row r="18" spans="2:21">
      <c r="B18" s="6" t="s">
        <v>75</v>
      </c>
      <c r="G18" s="11">
        <f t="shared" ref="G18" ca="1" si="11">U18</f>
        <v>0.11587557957567185</v>
      </c>
      <c r="I18" s="16">
        <f>Comparador!F17</f>
        <v>47253</v>
      </c>
      <c r="J18" s="6">
        <f t="shared" ref="J18" ca="1" si="12">I18-$J$13</f>
        <v>1280</v>
      </c>
      <c r="K18" s="6">
        <f t="shared" ref="K18" ca="1" si="13">IF(I18&lt;$K$13,J18,$K$13-$J$13)</f>
        <v>49</v>
      </c>
      <c r="L18" s="6">
        <f t="shared" ref="L18" si="14">IF(I18&lt;$L$13,IF(I18-$K$13&lt;0,0,I18-$K$13),IF(I18&lt;$L$13,$L$13-I18,365))</f>
        <v>365</v>
      </c>
      <c r="M18" s="6">
        <f t="shared" ref="M18" si="15">IF(I18&lt;$M$13,IF(I18-$L$13&lt;0,0,I18-$L$13),IF(I18&lt;$M$13,$M$13-I18,365-($M$13-I18)))</f>
        <v>866</v>
      </c>
      <c r="O18" s="17">
        <f ca="1">(1+Comparador!$K$29)^(Dados!K18/365)</f>
        <v>1.0189396850214347</v>
      </c>
      <c r="P18" s="17">
        <f>(1+Comparador!$L$29)^(Dados!L18/365)</f>
        <v>1.1375</v>
      </c>
      <c r="Q18" s="17">
        <f>(1+Comparador!$M$29)^(Dados!M18/365)</f>
        <v>1.2673059084098592</v>
      </c>
      <c r="S18" s="8">
        <f t="shared" ref="S18" ca="1" si="16">O18*P18*Q18-1</f>
        <v>0.46886317207282513</v>
      </c>
      <c r="U18" s="8">
        <f t="shared" ref="U18" ca="1" si="17">(1+S18)^(365/J18)-1</f>
        <v>0.11587557957567185</v>
      </c>
    </row>
    <row r="19" spans="2:21">
      <c r="B19" s="6" t="s">
        <v>30</v>
      </c>
      <c r="G19" s="11"/>
      <c r="I19" s="4"/>
      <c r="O19" s="17"/>
      <c r="P19" s="17"/>
      <c r="Q19" s="17"/>
    </row>
    <row r="20" spans="2:21">
      <c r="B20" s="6" t="s">
        <v>76</v>
      </c>
      <c r="G20" s="11">
        <f t="shared" ref="G20" ca="1" si="18">U20</f>
        <v>0.11240888675258853</v>
      </c>
      <c r="I20" s="16">
        <f>Comparador!F19</f>
        <v>47849</v>
      </c>
      <c r="J20" s="6">
        <f t="shared" ref="J20" ca="1" si="19">I20-$J$13</f>
        <v>1876</v>
      </c>
      <c r="K20" s="6">
        <f t="shared" ref="K20" ca="1" si="20">IF(I20&lt;$K$13,J20,$K$13-$J$13)</f>
        <v>49</v>
      </c>
      <c r="L20" s="6">
        <f t="shared" ref="L20" si="21">IF(I20&lt;$L$13,IF(I20-$K$13&lt;0,0,I20-$K$13),IF(I20&lt;$L$13,$L$13-I20,365))</f>
        <v>365</v>
      </c>
      <c r="M20" s="6">
        <f>IF(I20&lt;$M$13,IF(I20-$L$13&lt;0,0,I20-$L$13),IF(I20&lt;$M$13,$M$13-I20,365-($M$13-I20)))</f>
        <v>1462</v>
      </c>
      <c r="O20" s="17">
        <f ca="1">(1+Comparador!$K$29)^(Dados!K20/365)</f>
        <v>1.0189396850214347</v>
      </c>
      <c r="P20" s="17">
        <f>(1+Comparador!$L$29)^(Dados!L20/365)</f>
        <v>1.1375</v>
      </c>
      <c r="Q20" s="17">
        <f>(1+Comparador!$M$29)^(Dados!M20/365)</f>
        <v>1.4917179429124356</v>
      </c>
      <c r="S20" s="8">
        <f t="shared" ref="S20" ca="1" si="22">O20*P20*Q20-1</f>
        <v>0.72896656988967234</v>
      </c>
      <c r="U20" s="8">
        <f t="shared" ref="U20" ca="1" si="23">(1+S20)^(365/J20)-1</f>
        <v>0.11240888675258853</v>
      </c>
    </row>
    <row r="21" spans="2:21">
      <c r="B21" s="6" t="s">
        <v>32</v>
      </c>
      <c r="G21" s="11"/>
      <c r="I21" s="4"/>
      <c r="O21" s="17"/>
      <c r="P21" s="17"/>
      <c r="Q21" s="17"/>
    </row>
    <row r="22" spans="2:21">
      <c r="B22" s="6" t="s">
        <v>77</v>
      </c>
      <c r="G22" s="11">
        <f t="shared" ref="G22" ca="1" si="24">U22</f>
        <v>0.10914163753206485</v>
      </c>
      <c r="I22" s="16">
        <f>Comparador!F21</f>
        <v>49324</v>
      </c>
      <c r="J22" s="6">
        <f t="shared" ref="J22" ca="1" si="25">I22-$J$13</f>
        <v>3351</v>
      </c>
      <c r="K22" s="6">
        <f t="shared" ref="K22" ca="1" si="26">IF(I22&lt;$K$13,J22,$K$13-$J$13)</f>
        <v>49</v>
      </c>
      <c r="L22" s="6">
        <f t="shared" ref="L22" si="27">IF(I22&lt;$L$13,IF(I22-$K$13&lt;0,0,I22-$K$13),IF(I22&lt;$L$13,$L$13-I22,365))</f>
        <v>365</v>
      </c>
      <c r="M22" s="6">
        <f t="shared" ref="M22" si="28">IF(I22&lt;$M$13,IF(I22-$L$13&lt;0,0,I22-$L$13),IF(I22&lt;$M$13,$M$13-I22,365-($M$13-I22)))</f>
        <v>2937</v>
      </c>
      <c r="N22" s="7"/>
      <c r="O22" s="17">
        <f ca="1">(1+Comparador!$K$29)^(Dados!K22/365)</f>
        <v>1.0189396850214347</v>
      </c>
      <c r="P22" s="17">
        <f>(1+Comparador!$L$29)^(Dados!L22/365)</f>
        <v>1.1375</v>
      </c>
      <c r="Q22" s="17">
        <f>(1+Comparador!$M$29)^(Dados!M22/365)</f>
        <v>2.2331496999104647</v>
      </c>
      <c r="S22" s="8">
        <f t="shared" ref="S22" ca="1" si="29">O22*P22*Q22-1</f>
        <v>1.5883185189594462</v>
      </c>
      <c r="U22" s="8">
        <f t="shared" ref="U22" ca="1" si="30">(1+S22)^(365/J22)-1</f>
        <v>0.10914163753206485</v>
      </c>
    </row>
    <row r="23" spans="2:21">
      <c r="B23" s="6" t="s">
        <v>29</v>
      </c>
      <c r="G23" s="11"/>
      <c r="I23" s="4"/>
      <c r="O23" s="17"/>
      <c r="P23" s="17"/>
      <c r="Q23" s="17"/>
    </row>
    <row r="24" spans="2:21">
      <c r="G24" s="11">
        <f t="shared" ref="G24" ca="1" si="31">U24</f>
        <v>0.14999999997901536</v>
      </c>
      <c r="I24" s="16">
        <f>Comparador!F23</f>
        <v>0</v>
      </c>
      <c r="J24" s="6">
        <f t="shared" ref="J24" ca="1" si="32">I24-$J$13</f>
        <v>-45973</v>
      </c>
      <c r="K24" s="6">
        <f ca="1">IF(I24&lt;$K$13,J24,$K$13-$J$13)</f>
        <v>-45973</v>
      </c>
      <c r="L24" s="6">
        <f t="shared" ref="L24" si="33">IF(I24&lt;$L$13,IF(I24-$K$13&lt;0,0,I24-$K$13),IF(I24&lt;$L$13,$L$13-I24,365))</f>
        <v>0</v>
      </c>
      <c r="M24" s="6">
        <f t="shared" ref="M24" si="34">IF(I24&lt;$M$13,IF(I24-$L$13&lt;0,0,I24-$L$13),IF(I24&lt;$M$13,$M$13-I24,365-($M$13-I24)))</f>
        <v>0</v>
      </c>
      <c r="O24" s="17">
        <f ca="1">(1+Comparador!$K$29)^(Dados!K24/365)</f>
        <v>2.264118420872655E-8</v>
      </c>
      <c r="P24" s="17">
        <f>(1+Comparador!$L$29)^(Dados!L24/365)</f>
        <v>1</v>
      </c>
      <c r="Q24" s="17">
        <f>(1+Comparador!$M$29)^(Dados!M24/365)</f>
        <v>1</v>
      </c>
      <c r="S24" s="8">
        <f t="shared" ref="S24" ca="1" si="35">O24*P24*Q24-1</f>
        <v>-0.99999997735881574</v>
      </c>
      <c r="U24" s="8">
        <f t="shared" ref="U24" ca="1" si="36">(1+S24)^(365/J24)-1</f>
        <v>0.14999999997901536</v>
      </c>
    </row>
    <row r="25" spans="2:21">
      <c r="G25" s="12"/>
    </row>
    <row r="27" spans="2:21" ht="16">
      <c r="G27" s="10" t="s">
        <v>43</v>
      </c>
      <c r="J27" s="7">
        <f ca="1">J13</f>
        <v>45973</v>
      </c>
      <c r="K27" s="7">
        <f t="shared" ref="K27:M27" si="37">K13</f>
        <v>46022</v>
      </c>
      <c r="L27" s="7">
        <f t="shared" si="37"/>
        <v>46387</v>
      </c>
      <c r="M27" s="7">
        <f t="shared" si="37"/>
        <v>46752</v>
      </c>
      <c r="O27" s="7">
        <f>K27</f>
        <v>46022</v>
      </c>
      <c r="P27" s="7">
        <f>L27</f>
        <v>46387</v>
      </c>
      <c r="Q27" s="7">
        <f>M27</f>
        <v>46752</v>
      </c>
    </row>
    <row r="28" spans="2:21">
      <c r="G28" s="11">
        <f t="shared" ref="G28:G38" ca="1" si="38">U28</f>
        <v>4.0539924363647728E-2</v>
      </c>
      <c r="I28" s="16">
        <f>Comparador!F13</f>
        <v>49841</v>
      </c>
      <c r="J28" s="6">
        <f ca="1">I28-$J$13</f>
        <v>3868</v>
      </c>
      <c r="K28" s="6">
        <f t="shared" ref="K28" ca="1" si="39">IF(I28&lt;$K$13,J28,$K$13-$J$13)</f>
        <v>49</v>
      </c>
      <c r="L28" s="6">
        <f>IF(I28&lt;$L$13,IF(I28-$K$13&lt;0,0,I28-$K$13),IF(I28&lt;$L$13,$L$13-I28,365))</f>
        <v>365</v>
      </c>
      <c r="M28" s="6">
        <f t="shared" ref="M28" si="40">IF(I28&lt;$M$13,IF(I28-$L$13&lt;0,0,I28-$L$13),IF(I28&lt;$M$13,$M$13-I28,365-($M$13-I28)))</f>
        <v>3454</v>
      </c>
      <c r="O28" s="17">
        <f ca="1">(1+Comparador!$K$30)^(Dados!K28/365)</f>
        <v>1.0066614698933234</v>
      </c>
      <c r="P28" s="17">
        <f>(1+Comparador!$L$30)^(Dados!L28/365)</f>
        <v>1.0443</v>
      </c>
      <c r="Q28" s="17">
        <f>(1+Comparador!$M$30)^(Dados!M28/365)</f>
        <v>1.4493948809405777</v>
      </c>
      <c r="S28" s="8">
        <f ca="1">O28*P28*Q28-1</f>
        <v>0.52368589547524524</v>
      </c>
      <c r="U28" s="8">
        <f ca="1">(1+S28)^(365/J28)-1</f>
        <v>4.0539924363647728E-2</v>
      </c>
    </row>
    <row r="29" spans="2:21">
      <c r="G29" s="11"/>
      <c r="I29" s="4"/>
      <c r="O29" s="17"/>
      <c r="P29" s="17"/>
      <c r="Q29" s="17"/>
    </row>
    <row r="30" spans="2:21">
      <c r="D30" s="9"/>
      <c r="G30" s="11">
        <f t="shared" ca="1" si="38"/>
        <v>4.0193735384859375E-2</v>
      </c>
      <c r="I30" s="16">
        <f>Comparador!F15</f>
        <v>56751</v>
      </c>
      <c r="J30" s="6">
        <f t="shared" ref="J30" ca="1" si="41">I30-$J$13</f>
        <v>10778</v>
      </c>
      <c r="K30" s="6">
        <f t="shared" ref="K30" ca="1" si="42">IF(I30&lt;$K$13,J30,$K$13-$J$13)</f>
        <v>49</v>
      </c>
      <c r="L30" s="6">
        <f t="shared" ref="L30" si="43">IF(I30&lt;$L$13,IF(I30-$K$13&lt;0,0,I30-$K$13),IF(I30&lt;$L$13,$L$13-I30,365))</f>
        <v>365</v>
      </c>
      <c r="M30" s="6">
        <f t="shared" ref="M30" si="44">IF(I30&lt;$M$13,IF(I30-$L$13&lt;0,0,I30-$L$13),IF(I30&lt;$M$13,$M$13-I30,365-($M$13-I30)))</f>
        <v>10364</v>
      </c>
      <c r="O30" s="17">
        <f ca="1">(1+Comparador!$K$30)^(Dados!K30/365)</f>
        <v>1.0066614698933234</v>
      </c>
      <c r="P30" s="17">
        <f>(1+Comparador!$L$30)^(Dados!L30/365)</f>
        <v>1.0443</v>
      </c>
      <c r="Q30" s="17">
        <f>(1+Comparador!$M$30)^(Dados!M30/365)</f>
        <v>3.0454642285025981</v>
      </c>
      <c r="S30" s="8">
        <f t="shared" ref="S30" ca="1" si="45">O30*P30*Q30-1</f>
        <v>2.2015642880789592</v>
      </c>
      <c r="U30" s="8">
        <f t="shared" ref="U30" ca="1" si="46">(1+S30)^(365/J30)-1</f>
        <v>4.0193735384859375E-2</v>
      </c>
    </row>
    <row r="31" spans="2:21">
      <c r="G31" s="11"/>
      <c r="I31" s="4"/>
      <c r="O31" s="17"/>
      <c r="P31" s="17"/>
      <c r="Q31" s="17"/>
    </row>
    <row r="32" spans="2:21">
      <c r="G32" s="11">
        <f t="shared" ca="1" si="38"/>
        <v>4.1632440402358029E-2</v>
      </c>
      <c r="I32" s="16">
        <f>Comparador!F17</f>
        <v>47253</v>
      </c>
      <c r="J32" s="6">
        <f t="shared" ref="J32" ca="1" si="47">I32-$J$13</f>
        <v>1280</v>
      </c>
      <c r="K32" s="6">
        <f t="shared" ref="K32" ca="1" si="48">IF(I32&lt;$K$13,J32,$K$13-$J$13)</f>
        <v>49</v>
      </c>
      <c r="L32" s="6">
        <f t="shared" ref="L32" si="49">IF(I32&lt;$L$13,IF(I32-$K$13&lt;0,0,I32-$K$13),IF(I32&lt;$L$13,$L$13-I32,365))</f>
        <v>365</v>
      </c>
      <c r="M32" s="6">
        <f t="shared" ref="M32" si="50">IF(I32&lt;$M$13,IF(I32-$L$13&lt;0,0,I32-$L$13),IF(I32&lt;$M$13,$M$13-I32,365-($M$13-I32)))</f>
        <v>866</v>
      </c>
      <c r="O32" s="17">
        <f ca="1">(1+Comparador!$K$30)^(Dados!K32/365)</f>
        <v>1.0066614698933234</v>
      </c>
      <c r="P32" s="17">
        <f>(1+Comparador!$L$30)^(Dados!L32/365)</f>
        <v>1.0443</v>
      </c>
      <c r="Q32" s="17">
        <f>(1+Comparador!$M$30)^(Dados!M32/365)</f>
        <v>1.097522285528197</v>
      </c>
      <c r="S32" s="8">
        <f t="shared" ref="S32" ca="1" si="51">O32*P32*Q32-1</f>
        <v>0.15377751668603334</v>
      </c>
      <c r="U32" s="8">
        <f t="shared" ref="U32" ca="1" si="52">(1+S32)^(365/J32)-1</f>
        <v>4.1632440402358029E-2</v>
      </c>
    </row>
    <row r="33" spans="7:21">
      <c r="G33" s="11"/>
      <c r="I33" s="4"/>
      <c r="O33" s="17"/>
      <c r="P33" s="17"/>
      <c r="Q33" s="17"/>
    </row>
    <row r="34" spans="7:21">
      <c r="G34" s="11">
        <f t="shared" ca="1" si="38"/>
        <v>4.1113541086076788E-2</v>
      </c>
      <c r="I34" s="16">
        <f>Comparador!F19</f>
        <v>47849</v>
      </c>
      <c r="J34" s="6">
        <f t="shared" ref="J34" ca="1" si="53">I34-$J$13</f>
        <v>1876</v>
      </c>
      <c r="K34" s="6">
        <f t="shared" ref="K34" ca="1" si="54">IF(I34&lt;$K$13,J34,$K$13-$J$13)</f>
        <v>49</v>
      </c>
      <c r="L34" s="6">
        <f t="shared" ref="L34" si="55">IF(I34&lt;$L$13,IF(I34-$K$13&lt;0,0,I34-$K$13),IF(I34&lt;$L$13,$L$13-I34,365))</f>
        <v>365</v>
      </c>
      <c r="M34" s="6">
        <f>IF(I34&lt;$M$13,IF(I34-$L$13&lt;0,0,I34-$L$13),IF(I34&lt;$M$13,$M$13-I34,365-($M$13-I34)))</f>
        <v>1462</v>
      </c>
      <c r="O34" s="17">
        <f ca="1">(1+Comparador!$K$30)^(Dados!K34/365)</f>
        <v>1.0066614698933234</v>
      </c>
      <c r="P34" s="17">
        <f>(1+Comparador!$L$30)^(Dados!L34/365)</f>
        <v>1.0443</v>
      </c>
      <c r="Q34" s="17">
        <f>(1+Comparador!$M$30)^(Dados!M34/365)</f>
        <v>1.1701099990007866</v>
      </c>
      <c r="S34" s="8">
        <f t="shared" ref="S34" ca="1" si="56">O34*P34*Q34-1</f>
        <v>0.23008582759383045</v>
      </c>
      <c r="U34" s="8">
        <f t="shared" ref="U34" ca="1" si="57">(1+S34)^(365/J34)-1</f>
        <v>4.1113541086076788E-2</v>
      </c>
    </row>
    <row r="35" spans="7:21">
      <c r="G35" s="11"/>
      <c r="I35" s="4"/>
      <c r="O35" s="17"/>
      <c r="P35" s="17"/>
      <c r="Q35" s="17"/>
    </row>
    <row r="36" spans="7:21">
      <c r="G36" s="11">
        <f t="shared" ca="1" si="38"/>
        <v>4.0623250093892116E-2</v>
      </c>
      <c r="I36" s="16">
        <f>Comparador!F21</f>
        <v>49324</v>
      </c>
      <c r="J36" s="6">
        <f t="shared" ref="J36" ca="1" si="58">I36-$J$13</f>
        <v>3351</v>
      </c>
      <c r="K36" s="6">
        <f t="shared" ref="K36" ca="1" si="59">IF(I36&lt;$K$13,J36,$K$13-$J$13)</f>
        <v>49</v>
      </c>
      <c r="L36" s="6">
        <f t="shared" ref="L36" si="60">IF(I36&lt;$L$13,IF(I36-$K$13&lt;0,0,I36-$K$13),IF(I36&lt;$L$13,$L$13-I36,365))</f>
        <v>365</v>
      </c>
      <c r="M36" s="6">
        <f t="shared" ref="M36" si="61">IF(I36&lt;$M$13,IF(I36-$L$13&lt;0,0,I36-$L$13),IF(I36&lt;$M$13,$M$13-I36,365-($M$13-I36)))</f>
        <v>2937</v>
      </c>
      <c r="N36" s="7"/>
      <c r="O36" s="17">
        <f ca="1">(1+Comparador!$K$30)^(Dados!K36/365)</f>
        <v>1.0066614698933234</v>
      </c>
      <c r="P36" s="17">
        <f>(1+Comparador!$L$30)^(Dados!L36/365)</f>
        <v>1.0443</v>
      </c>
      <c r="Q36" s="17">
        <f>(1+Comparador!$M$30)^(Dados!M36/365)</f>
        <v>1.3710713251043682</v>
      </c>
      <c r="S36" s="8">
        <f t="shared" ref="S36" ca="1" si="62">O36*P36*Q36-1</f>
        <v>0.441347742580946</v>
      </c>
      <c r="U36" s="8">
        <f t="shared" ref="U36" ca="1" si="63">(1+S36)^(365/J36)-1</f>
        <v>4.0623250093892116E-2</v>
      </c>
    </row>
    <row r="37" spans="7:21">
      <c r="G37" s="11"/>
      <c r="I37" s="4"/>
      <c r="O37" s="17"/>
      <c r="P37" s="17"/>
      <c r="Q37" s="17"/>
    </row>
    <row r="38" spans="7:21">
      <c r="G38" s="11">
        <f t="shared" ca="1" si="38"/>
        <v>5.0699999999999967E-2</v>
      </c>
      <c r="I38" s="16">
        <f>Comparador!F23</f>
        <v>0</v>
      </c>
      <c r="J38" s="6">
        <f t="shared" ref="J38" ca="1" si="64">I38-$J$13</f>
        <v>-45973</v>
      </c>
      <c r="K38" s="6">
        <f ca="1">IF(I38&lt;$K$13,J38,$K$13-$J$13)</f>
        <v>-45973</v>
      </c>
      <c r="L38" s="6">
        <f t="shared" ref="L38" si="65">IF(I38&lt;$L$13,IF(I38-$K$13&lt;0,0,I38-$K$13),IF(I38&lt;$L$13,$L$13-I38,365))</f>
        <v>0</v>
      </c>
      <c r="M38" s="6">
        <f t="shared" ref="M38" si="66">IF(I38&lt;$M$13,IF(I38-$L$13&lt;0,0,I38-$L$13),IF(I38&lt;$M$13,$M$13-I38,365-($M$13-I38)))</f>
        <v>0</v>
      </c>
      <c r="O38" s="17">
        <f ca="1">(1+Comparador!$K$30)^(Dados!K38/365)</f>
        <v>1.9709704579132905E-3</v>
      </c>
      <c r="P38" s="17">
        <f>(1+Comparador!$L$30)^(Dados!L38/365)</f>
        <v>1</v>
      </c>
      <c r="Q38" s="17">
        <f>(1+Comparador!$M$30)^(Dados!M38/365)</f>
        <v>1</v>
      </c>
      <c r="S38" s="8">
        <f t="shared" ref="S38" ca="1" si="67">O38*P38*Q38-1</f>
        <v>-0.99802902954208672</v>
      </c>
      <c r="U38" s="8">
        <f t="shared" ref="U38" ca="1" si="68">(1+S38)^(365/J38)-1</f>
        <v>5.0699999999999967E-2</v>
      </c>
    </row>
    <row r="39" spans="7:21">
      <c r="G39" s="13"/>
    </row>
  </sheetData>
  <sheetProtection algorithmName="SHA-512" hashValue="SvC78ooahSnyEXkbXVz11Zew/9QNkr4yOkfzOgFMz2uWuV7F0bgHwDx2t+fKa0+DMI4B3f0Iq0mCwUCN85EumQ==" saltValue="G6a4Jr6sDvB9BC1KB6SKCg==" spinCount="100000" sheet="1" objects="1" scenarios="1"/>
  <customSheetViews>
    <customSheetView guid="{DC98744D-E3B9-4D80-B691-6C3FB36E9535}" state="hidden">
      <selection activeCell="G5" sqref="G5"/>
      <pageMargins left="0" right="0" top="0" bottom="0" header="0" footer="0"/>
    </customSheetView>
  </customSheetViews>
  <mergeCells count="2">
    <mergeCell ref="B12:E12"/>
    <mergeCell ref="I11:U1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2626-F05E-444F-B5E9-7DFA8C145C0D}">
  <dimension ref="A1:W33"/>
  <sheetViews>
    <sheetView showGridLines="0" view="pageBreakPreview" zoomScaleNormal="100" zoomScaleSheetLayoutView="100" workbookViewId="0">
      <selection activeCell="A34" sqref="A34:XFD1048576"/>
    </sheetView>
  </sheetViews>
  <sheetFormatPr baseColWidth="10" defaultColWidth="0" defaultRowHeight="15" zeroHeight="1"/>
  <cols>
    <col min="1" max="18" width="8.83203125" customWidth="1"/>
    <col min="19" max="23" width="0" hidden="1" customWidth="1"/>
    <col min="24" max="16384" width="7.1640625" hidden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sheetProtection algorithmName="SHA-512" hashValue="knb5jU9rARVBYkomBvxDoArxuctzNduqKlN+6vm+4qJFMWj4iYVXN1oSAf+A4z7p//ceKR7BBwQaVIZNWFXtGw==" saltValue="rOcfw4g6sWJ13RCHFMCBKw==" spinCount="100000" sheet="1" objects="1" scenarios="1"/>
  <customSheetViews>
    <customSheetView guid="{DC98744D-E3B9-4D80-B691-6C3FB36E9535}" showPageBreaks="1" showGridLines="0" hiddenRows="1" hiddenColumns="1">
      <selection activeCell="B1" sqref="B1:W25"/>
      <pageMargins left="0" right="0" top="0" bottom="0" header="0" footer="0"/>
      <printOptions headings="1"/>
      <pageSetup paperSize="9" orientation="landscape" r:id="rId1"/>
    </customSheetView>
  </customSheetViews>
  <printOptions headings="1"/>
  <pageMargins left="0.511811024" right="0.511811024" top="0.78740157499999996" bottom="0.78740157499999996" header="0.31496062000000002" footer="0.31496062000000002"/>
  <pageSetup paperSize="9" scale="66" orientation="landscape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9B110456DD90488848F134019EC982" ma:contentTypeVersion="15" ma:contentTypeDescription="Crie um novo documento." ma:contentTypeScope="" ma:versionID="9250aee81b2476c67aa608f136d23a55">
  <xsd:schema xmlns:xsd="http://www.w3.org/2001/XMLSchema" xmlns:xs="http://www.w3.org/2001/XMLSchema" xmlns:p="http://schemas.microsoft.com/office/2006/metadata/properties" xmlns:ns2="02e17c19-798e-4332-ae26-babaec006a22" xmlns:ns3="3f12a39f-9cdc-4ef3-b8f5-966b0949f6d3" targetNamespace="http://schemas.microsoft.com/office/2006/metadata/properties" ma:root="true" ma:fieldsID="791055b6a9d0049f5a5b813d30732c22" ns2:_="" ns3:_="">
    <xsd:import namespace="02e17c19-798e-4332-ae26-babaec006a22"/>
    <xsd:import namespace="3f12a39f-9cdc-4ef3-b8f5-966b0949f6d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17c19-798e-4332-ae26-babaec006a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6494dc4-5f73-4e9c-98f3-078955c9b7d0}" ma:internalName="TaxCatchAll" ma:showField="CatchAllData" ma:web="02e17c19-798e-4332-ae26-babaec006a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12a39f-9cdc-4ef3-b8f5-966b0949f6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7ec8c63-1285-4b3f-bac1-9e05ad326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12a39f-9cdc-4ef3-b8f5-966b0949f6d3">
      <Terms xmlns="http://schemas.microsoft.com/office/infopath/2007/PartnerControls"/>
    </lcf76f155ced4ddcb4097134ff3c332f>
    <TaxCatchAll xmlns="02e17c19-798e-4332-ae26-babaec006a22" xsi:nil="true"/>
  </documentManagement>
</p:properties>
</file>

<file path=customXml/itemProps1.xml><?xml version="1.0" encoding="utf-8"?>
<ds:datastoreItem xmlns:ds="http://schemas.openxmlformats.org/officeDocument/2006/customXml" ds:itemID="{36B3F49F-41C3-4DAA-B274-F6DDA21F91D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5D0F97A-7EDF-4A72-8B5E-F2CD80D99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9D3683-AD11-4AC6-B391-EFD547226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e17c19-798e-4332-ae26-babaec006a22"/>
    <ds:schemaRef ds:uri="3f12a39f-9cdc-4ef3-b8f5-966b0949f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22C663F-88B5-4661-8EC3-D92D09816D97}">
  <ds:schemaRefs>
    <ds:schemaRef ds:uri="http://schemas.microsoft.com/office/2006/metadata/properties"/>
    <ds:schemaRef ds:uri="http://schemas.microsoft.com/office/infopath/2007/PartnerControls"/>
    <ds:schemaRef ds:uri="3f12a39f-9cdc-4ef3-b8f5-966b0949f6d3"/>
    <ds:schemaRef ds:uri="02e17c19-798e-4332-ae26-babaec006a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19</vt:i4>
      </vt:variant>
    </vt:vector>
  </HeadingPairs>
  <TitlesOfParts>
    <vt:vector size="23" baseType="lpstr">
      <vt:lpstr>Capa</vt:lpstr>
      <vt:lpstr>Comparador</vt:lpstr>
      <vt:lpstr>Dados</vt:lpstr>
      <vt:lpstr>Disclaimer</vt:lpstr>
      <vt:lpstr>Comparador!Area_de_impressao</vt:lpstr>
      <vt:lpstr>Disclaimer!Area_de_impressao</vt:lpstr>
      <vt:lpstr>CD.I24</vt:lpstr>
      <vt:lpstr>CD.I25</vt:lpstr>
      <vt:lpstr>CD.I26</vt:lpstr>
      <vt:lpstr>Data2024</vt:lpstr>
      <vt:lpstr>Data2025</vt:lpstr>
      <vt:lpstr>Data2026</vt:lpstr>
      <vt:lpstr>IPCA24</vt:lpstr>
      <vt:lpstr>IPCA25</vt:lpstr>
      <vt:lpstr>IPCA26</vt:lpstr>
      <vt:lpstr>Juros24</vt:lpstr>
      <vt:lpstr>Vencimento</vt:lpstr>
      <vt:lpstr>Vencimento1</vt:lpstr>
      <vt:lpstr>Vencimento2</vt:lpstr>
      <vt:lpstr>Vencimento3</vt:lpstr>
      <vt:lpstr>Vencimento4</vt:lpstr>
      <vt:lpstr>Vencimento5</vt:lpstr>
      <vt:lpstr>Vencimento6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Simulador de Renda Fixa</dc:title>
  <dc:subject/>
  <dc:creator>joao.neves@eqi.com.br</dc:creator>
  <cp:keywords/>
  <dc:description/>
  <cp:lastModifiedBy>Suellen C. N. Andrade Pinto</cp:lastModifiedBy>
  <cp:revision/>
  <dcterms:created xsi:type="dcterms:W3CDTF">2024-02-19T12:20:39Z</dcterms:created>
  <dcterms:modified xsi:type="dcterms:W3CDTF">2025-11-12T18:38:10Z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0x0101001D9B110456DD90488848F134019EC982</vt:lpwstr>
  </property>
  <property fmtid="{D5CDD505-2E9C-101B-9397-08002B2CF9AE}" pid="3" name="MediaServiceImageTags">
    <vt:lpwstr/>
  </property>
</Properties>
</file>